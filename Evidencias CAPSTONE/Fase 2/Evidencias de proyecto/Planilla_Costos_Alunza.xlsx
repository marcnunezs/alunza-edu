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Supuestos" sheetId="2" state="visible" r:id="rId4"/>
    <sheet name="RRHH" sheetId="3" state="visible" r:id="rId5"/>
    <sheet name="Por sprint" sheetId="4" state="visible" r:id="rId6"/>
    <sheet name="Infraestructura" sheetId="5" state="visible" r:id="rId7"/>
    <sheet name="Otros costos" sheetId="6" state="visible" r:id="rId8"/>
    <sheet name="Fuent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<sst xmlns="http://schemas.openxmlformats.org/spreadsheetml/2006/main" count="322" uniqueCount="292">
  <si>
    <t xml:space="preserve">Planilla de costos · Alunza</t>
  </si>
  <si>
    <t xml:space="preserve">Tutor Universitario Inteligente para Programación I · Capstone Duoc UC sede Puente Alto · Equipo: B. Pérez, A. Retamal y M. Núñez · Valores en CLP</t>
  </si>
  <si>
    <t xml:space="preserve">1. Costo total del proyecto</t>
  </si>
  <si>
    <t xml:space="preserve">Concepto</t>
  </si>
  <si>
    <t xml:space="preserve">Monto (CLP)</t>
  </si>
  <si>
    <t xml:space="preserve">% del total</t>
  </si>
  <si>
    <t xml:space="preserve">Monto (UF)</t>
  </si>
  <si>
    <t xml:space="preserve">Detalle</t>
  </si>
  <si>
    <t xml:space="preserve">Recurso humano (3 profesionales)</t>
  </si>
  <si>
    <t xml:space="preserve">540 h × costo hora productiva de cada integrante (hoja RRHH).</t>
  </si>
  <si>
    <t xml:space="preserve">Infraestructura cloud y herramientas</t>
  </si>
  <si>
    <t xml:space="preserve">Vercel, Supabase, Azure, dominio y licencias (hoja Infraestructura).</t>
  </si>
  <si>
    <t xml:space="preserve">Equipamiento y otros directos</t>
  </si>
  <si>
    <t xml:space="preserve">Depreciación de notebooks, internet/energía y material (hoja Otros costos).</t>
  </si>
  <si>
    <t xml:space="preserve">Subtotal directo</t>
  </si>
  <si>
    <t xml:space="preserve">Gastos generales y administración</t>
  </si>
  <si>
    <t xml:space="preserve">Recargo porcentual (hoja Supuestos).</t>
  </si>
  <si>
    <t xml:space="preserve">Contingencia</t>
  </si>
  <si>
    <t xml:space="preserve">Reserva para imprevistos (hoja Supuestos).</t>
  </si>
  <si>
    <t xml:space="preserve">COSTO TOTAL ESTIMADO DEL PROYECTO</t>
  </si>
  <si>
    <t xml:space="preserve">Debe coincidir con el total de la hoja 'Por sprint'.</t>
  </si>
  <si>
    <t xml:space="preserve">Equivalente en US$</t>
  </si>
  <si>
    <t xml:space="preserve">Control: diferencia con hoja 'Por sprint'</t>
  </si>
  <si>
    <t xml:space="preserve">2. Comparación con la línea base de la Fase 1</t>
  </si>
  <si>
    <t xml:space="preserve">Fase 1 (CLP)</t>
  </si>
  <si>
    <t xml:space="preserve">Planilla realista (CLP)</t>
  </si>
  <si>
    <t xml:space="preserve">Variación (CLP)</t>
  </si>
  <si>
    <t xml:space="preserve">Variación %</t>
  </si>
  <si>
    <t xml:space="preserve">Explicación</t>
  </si>
  <si>
    <t xml:space="preserve">Recurso humano</t>
  </si>
  <si>
    <t xml:space="preserve">Fase 1 usó $8.000/h; aquí se calcula el costo empresa real de un profesional junior.</t>
  </si>
  <si>
    <t xml:space="preserve">Costos directos (infraestructura y otros)</t>
  </si>
  <si>
    <t xml:space="preserve">Fase 1 consideraba planes gratuitos; aquí se valoriza un entorno productivo con planes de pago.</t>
  </si>
  <si>
    <t xml:space="preserve">Gastos generales y contingencia</t>
  </si>
  <si>
    <t xml:space="preserve">No se consideraban en la línea base.</t>
  </si>
  <si>
    <t xml:space="preserve">Total</t>
  </si>
  <si>
    <t xml:space="preserve">3. Indicadores</t>
  </si>
  <si>
    <t xml:space="preserve">Indicador</t>
  </si>
  <si>
    <t xml:space="preserve">Valor</t>
  </si>
  <si>
    <t xml:space="preserve">Fórmula</t>
  </si>
  <si>
    <t xml:space="preserve">Costo hora productiva promedio (CLP/h)</t>
  </si>
  <si>
    <t xml:space="preserve">Promedio de los tres integrantes.</t>
  </si>
  <si>
    <t xml:space="preserve">Costo total por semana (CLP)</t>
  </si>
  <si>
    <t xml:space="preserve">Costo total ÷ 18 semanas.</t>
  </si>
  <si>
    <t xml:space="preserve">Costo por punto de historia (CLP)</t>
  </si>
  <si>
    <t xml:space="preserve">Costo total ÷ 184 puntos.</t>
  </si>
  <si>
    <t xml:space="preserve">Costo por historia de usuario (CLP)</t>
  </si>
  <si>
    <t xml:space="preserve">Costo total ÷ 27 historias.</t>
  </si>
  <si>
    <t xml:space="preserve">Horas totales del proyecto</t>
  </si>
  <si>
    <t xml:space="preserve">Suma de las horas por sprint.</t>
  </si>
  <si>
    <t xml:space="preserve">Costo de nube mensual en operación (CLP/mes)</t>
  </si>
  <si>
    <t xml:space="preserve">Total de infraestructura ÷ 4 meses facturados; referencia para operar el piloto.</t>
  </si>
  <si>
    <t xml:space="preserve">Los supuestos, fuentes y límites de este modelo están en las hojas 'Supuestos' y 'Fuentes'. Es una estimación para planificación académica, no una cotización.</t>
  </si>
  <si>
    <t xml:space="preserve">Supuestos y parámetros</t>
  </si>
  <si>
    <t xml:space="preserve">Celdas en azul = datos editables (amarillo = supuestos clave). Todo el libro se recalcula a partir de esta hoja.</t>
  </si>
  <si>
    <t xml:space="preserve">Parámetro</t>
  </si>
  <si>
    <t xml:space="preserve">Unidad</t>
  </si>
  <si>
    <t xml:space="preserve">Fuente / criterio</t>
  </si>
  <si>
    <t xml:space="preserve">1. Indicadores económicos (Chile)</t>
  </si>
  <si>
    <t xml:space="preserve">Valor UF (1 oct 2026)</t>
  </si>
  <si>
    <t xml:space="preserve">CLP</t>
  </si>
  <si>
    <t xml:space="preserve">Banco Central de Chile vía calcular.cl (valor 1/10/2026). Actualizar al cierre del informe.</t>
  </si>
  <si>
    <t xml:space="preserve">Dólar observado de referencia</t>
  </si>
  <si>
    <t xml:space="preserve">CLP/USD</t>
  </si>
  <si>
    <t xml:space="preserve">Dólar observado BCCh: $920,26 (20/08/2026), $911,77 (10/08/2026) y $936,16 (29/07/2026). Se usa 925 como valor medio prudente.</t>
  </si>
  <si>
    <t xml:space="preserve">Ingreso Mínimo Mensual (IMM)</t>
  </si>
  <si>
    <t xml:space="preserve">Ley 21.830, vigente desde el 1/05/2026 (base del tope de gratificación).</t>
  </si>
  <si>
    <t xml:space="preserve">2. Jornada y calendario</t>
  </si>
  <si>
    <t xml:space="preserve">Horas semanales de jornada</t>
  </si>
  <si>
    <t xml:space="preserve">horas</t>
  </si>
  <si>
    <t xml:space="preserve">Ley de 40 horas: jornada de 42 h semanales desde el 26/04/2026 (verificar contrato).</t>
  </si>
  <si>
    <t xml:space="preserve">Días hábiles por semana</t>
  </si>
  <si>
    <t xml:space="preserve">días</t>
  </si>
  <si>
    <t xml:space="preserve">Jornada de lunes a viernes.</t>
  </si>
  <si>
    <t xml:space="preserve">Vacaciones anuales</t>
  </si>
  <si>
    <t xml:space="preserve">días hábiles</t>
  </si>
  <si>
    <t xml:space="preserve">Feriado legal anual básico (Código del Trabajo, art. 67).</t>
  </si>
  <si>
    <t xml:space="preserve">Feriados en día hábil (2026, estimado)</t>
  </si>
  <si>
    <t xml:space="preserve">Calendario 2026: 1/1, 3/4, 1/5, 21/5, 29/6, 16/7, 18/9, 12/10, 8/12 y 25/12 (estimación del equipo).</t>
  </si>
  <si>
    <t xml:space="preserve">Horas productivas anuales por persona</t>
  </si>
  <si>
    <t xml:space="preserve">Cálculo: horas contractuales anuales menos vacaciones y feriados. Se usa para llegar al costo por hora productiva.</t>
  </si>
  <si>
    <t xml:space="preserve">Duración del proyecto</t>
  </si>
  <si>
    <t xml:space="preserve">semanas</t>
  </si>
  <si>
    <t xml:space="preserve">Plan de Fase 1: 11/08/2026 al 17/12/2026.</t>
  </si>
  <si>
    <t xml:space="preserve">Cantidad de sprints</t>
  </si>
  <si>
    <t xml:space="preserve">sprints</t>
  </si>
  <si>
    <t xml:space="preserve">S0 a S8, de 2 semanas cada uno.</t>
  </si>
  <si>
    <t xml:space="preserve">Duración en meses</t>
  </si>
  <si>
    <t xml:space="preserve">meses</t>
  </si>
  <si>
    <t xml:space="preserve">Semanas × 12 / 52.</t>
  </si>
  <si>
    <t xml:space="preserve">3. Remuneraciones y cargas del empleador (profesional contratado como dependiente)</t>
  </si>
  <si>
    <t xml:space="preserve">Cotización empleador (COE, incluye SIS)</t>
  </si>
  <si>
    <t xml:space="preserve">% imponible</t>
  </si>
  <si>
    <t xml:space="preserve">Desde el 1/08/2026 el aporte del empleador sube de 1% a 3,5% (Ley 21.735); incluye el SIS. Fuentes: 24horas.cl y KPMG (jul-2026).</t>
  </si>
  <si>
    <t xml:space="preserve">Seguro de cesantía (empleador)</t>
  </si>
  <si>
    <t xml:space="preserve">Contrato indefinido: 2,4% a cargo del empleador (KPMG, jul-2026).</t>
  </si>
  <si>
    <t xml:space="preserve">Mutual / Ley 16.744 (tasa base)</t>
  </si>
  <si>
    <t xml:space="preserve">Tasa base 0,93%; el adicional depende de la actividad (oficina: se asume solo la base).</t>
  </si>
  <si>
    <t xml:space="preserve">Gratificación legal</t>
  </si>
  <si>
    <t xml:space="preserve">% remuneración</t>
  </si>
  <si>
    <t xml:space="preserve">Art. 50 Código del Trabajo: 25% de la remuneración con tope mensual de 4,75 IMM / 12.</t>
  </si>
  <si>
    <t xml:space="preserve">Tope mensual de gratificación</t>
  </si>
  <si>
    <t xml:space="preserve">4,75 × IMM / 12.</t>
  </si>
  <si>
    <t xml:space="preserve">Tope imponible (90 UF)</t>
  </si>
  <si>
    <t xml:space="preserve">Tope imponible 2026: 90 UF para AFP, salud y mutual.</t>
  </si>
  <si>
    <t xml:space="preserve">4. Equipamiento y gastos asociados al puesto de trabajo</t>
  </si>
  <si>
    <t xml:space="preserve">Notebook de desarrollo (precio)</t>
  </si>
  <si>
    <t xml:space="preserve">CLP/equipo</t>
  </si>
  <si>
    <t xml:space="preserve">Equipo de gama media para desarrollo web; se imputa solo su depreciación durante el proyecto.</t>
  </si>
  <si>
    <t xml:space="preserve">Vida útil contable del notebook</t>
  </si>
  <si>
    <t xml:space="preserve">Criterio de depreciación lineal a 3 años.</t>
  </si>
  <si>
    <t xml:space="preserve">Internet y energía por persona</t>
  </si>
  <si>
    <t xml:space="preserve">CLP/mes</t>
  </si>
  <si>
    <t xml:space="preserve">Trabajo híbrido/remoto: proporción de internet y electricidad (estimación del equipo).</t>
  </si>
  <si>
    <t xml:space="preserve">Impresión y material de presentación</t>
  </si>
  <si>
    <t xml:space="preserve">Informe final, afiches y material de defensa.</t>
  </si>
  <si>
    <t xml:space="preserve">5. Recargos</t>
  </si>
  <si>
    <t xml:space="preserve">% subtotal</t>
  </si>
  <si>
    <t xml:space="preserve">Coordinación, contabilidad y soporte; recargo sobre el subtotal directo.</t>
  </si>
  <si>
    <t xml:space="preserve">Reserva para imprevistos y riesgos de estimación (práctica habitual 10%-15%).</t>
  </si>
  <si>
    <t xml:space="preserve">6. Línea base de la Fase 1 (Acta de Constitución)</t>
  </si>
  <si>
    <t xml:space="preserve">Fase 1: 540 horas (60 por sprint).</t>
  </si>
  <si>
    <t xml:space="preserve">Tarifa hora usada en Fase 1</t>
  </si>
  <si>
    <t xml:space="preserve">CLP/hora</t>
  </si>
  <si>
    <t xml:space="preserve">Fase 1: $8.000 por hora.</t>
  </si>
  <si>
    <t xml:space="preserve">Costos directos Fase 1</t>
  </si>
  <si>
    <t xml:space="preserve">Fase 1: tope de costos directos.</t>
  </si>
  <si>
    <t xml:space="preserve">Puntos de historia del backlog</t>
  </si>
  <si>
    <t xml:space="preserve">puntos</t>
  </si>
  <si>
    <t xml:space="preserve">Product Backlog Fase 1: 27 historias, 184 puntos.</t>
  </si>
  <si>
    <t xml:space="preserve">Historias de usuario</t>
  </si>
  <si>
    <t xml:space="preserve">HU</t>
  </si>
  <si>
    <t xml:space="preserve">Product Backlog Fase 1.</t>
  </si>
  <si>
    <t xml:space="preserve">Recurso humano profesional</t>
  </si>
  <si>
    <t xml:space="preserve">Costo empresa de un profesional contratado como dependiente, convertido a costo por hora productiva.</t>
  </si>
  <si>
    <t xml:space="preserve">Integrante</t>
  </si>
  <si>
    <t xml:space="preserve">Rol en Alunza</t>
  </si>
  <si>
    <t xml:space="preserve">Sueldo base bruto mensual</t>
  </si>
  <si>
    <t xml:space="preserve">Remuneración imponible</t>
  </si>
  <si>
    <t xml:space="preserve">COE (incl. SIS)</t>
  </si>
  <si>
    <t xml:space="preserve">Seguro cesantía</t>
  </si>
  <si>
    <t xml:space="preserve">Mutual 0,93%</t>
  </si>
  <si>
    <t xml:space="preserve">Costo empresa mensual</t>
  </si>
  <si>
    <t xml:space="preserve">Horas productivas anuales</t>
  </si>
  <si>
    <t xml:space="preserve">Costo hora productiva</t>
  </si>
  <si>
    <t xml:space="preserve">Horas asignadas</t>
  </si>
  <si>
    <t xml:space="preserve">Costo total proyecto</t>
  </si>
  <si>
    <t xml:space="preserve">Marcelo Núñez</t>
  </si>
  <si>
    <t xml:space="preserve">Product Owner, backend y seguridad</t>
  </si>
  <si>
    <t xml:space="preserve">Abraham Retamal</t>
  </si>
  <si>
    <t xml:space="preserve">Datos, IA/RAG y calidad</t>
  </si>
  <si>
    <t xml:space="preserve">Benjamin Pérez</t>
  </si>
  <si>
    <t xml:space="preserve">UX/UI, frontend y documentación</t>
  </si>
  <si>
    <t xml:space="preserve">Total / promedio</t>
  </si>
  <si>
    <t xml:space="preserve">Criterio salarial: ingeniero/a de software junior (0-2 años) en Chile. Referencias: promedio Indeed $1.559.610 (sep-2026); pretensiones promedio $1.125.840 en ChileTrabajos (jul-2026); sueldo a 4° año Informática $1.550.000 (MiFuturo/Duoc UC). Se fija $1.400.000 bruto como valor central; ajústelo por integrante.</t>
  </si>
  <si>
    <t xml:space="preserve">Costo empresa = sueldo + gratificación legal + COE (3,5%) + seguro de cesantía (2,4%) + mutual (0,93%). El costo hora divide el costo anual por las horas realmente productivas (descontando vacaciones y feriados).</t>
  </si>
  <si>
    <t xml:space="preserve">No se incluyen indemnizaciones ni bonos (se asume contrato por la duración del proyecto). Si el equipo se valoriza como honorarios, reemplace las cargas por la retención vigente de la boleta de honorarios.</t>
  </si>
  <si>
    <t xml:space="preserve">Las horas asignadas provienen de la hoja 'Por sprint' (540 h en total, igual a la línea base de la Fase 1).</t>
  </si>
  <si>
    <t xml:space="preserve">Costo por sprint</t>
  </si>
  <si>
    <t xml:space="preserve">Horas por integrante (azul) × costo hora de la hoja RRHH. Distribución base: la del Sprint Backlog 2 (21/20/19 h = 60 h) replicada en cada sprint; reemplazar por horas reales.</t>
  </si>
  <si>
    <t xml:space="preserve">Sprint</t>
  </si>
  <si>
    <t xml:space="preserve">Semanas</t>
  </si>
  <si>
    <t xml:space="preserve">Foco</t>
  </si>
  <si>
    <t xml:space="preserve">Horas Marcelo</t>
  </si>
  <si>
    <t xml:space="preserve">Horas Abraham</t>
  </si>
  <si>
    <t xml:space="preserve">Horas Benjamin</t>
  </si>
  <si>
    <t xml:space="preserve">Horas totales</t>
  </si>
  <si>
    <t xml:space="preserve">Costo RRHH</t>
  </si>
  <si>
    <t xml:space="preserve">¿Infra activa? (1/0)</t>
  </si>
  <si>
    <t xml:space="preserve">Infraestructura asignada</t>
  </si>
  <si>
    <t xml:space="preserve">Otros directos</t>
  </si>
  <si>
    <t xml:space="preserve">Gastos generales + contingencia</t>
  </si>
  <si>
    <t xml:space="preserve">Total sprint</t>
  </si>
  <si>
    <t xml:space="preserve">Acumulado</t>
  </si>
  <si>
    <t xml:space="preserve">% acumulado</t>
  </si>
  <si>
    <t xml:space="preserve">S0</t>
  </si>
  <si>
    <t xml:space="preserve">1-2</t>
  </si>
  <si>
    <t xml:space="preserve">Alineación y descubrimiento</t>
  </si>
  <si>
    <t xml:space="preserve">S1</t>
  </si>
  <si>
    <t xml:space="preserve">3-4</t>
  </si>
  <si>
    <t xml:space="preserve">Definición y diseño</t>
  </si>
  <si>
    <t xml:space="preserve">S2</t>
  </si>
  <si>
    <t xml:space="preserve">5-6</t>
  </si>
  <si>
    <t xml:space="preserve">Plataforma base</t>
  </si>
  <si>
    <t xml:space="preserve">S3</t>
  </si>
  <si>
    <t xml:space="preserve">7-8</t>
  </si>
  <si>
    <t xml:space="preserve">Contenido y estructura</t>
  </si>
  <si>
    <t xml:space="preserve">S4</t>
  </si>
  <si>
    <t xml:space="preserve">9-10</t>
  </si>
  <si>
    <t xml:space="preserve">Primer incremento integrado</t>
  </si>
  <si>
    <t xml:space="preserve">S5</t>
  </si>
  <si>
    <t xml:space="preserve">11-12</t>
  </si>
  <si>
    <t xml:space="preserve">Diagnóstico, feedback y RAG</t>
  </si>
  <si>
    <t xml:space="preserve">S6</t>
  </si>
  <si>
    <t xml:space="preserve">13-14</t>
  </si>
  <si>
    <t xml:space="preserve">Panel docente y calidad</t>
  </si>
  <si>
    <t xml:space="preserve">S7</t>
  </si>
  <si>
    <t xml:space="preserve">15-16</t>
  </si>
  <si>
    <t xml:space="preserve">Gobierno y cierre funcional</t>
  </si>
  <si>
    <t xml:space="preserve">S8</t>
  </si>
  <si>
    <t xml:space="preserve">17-18</t>
  </si>
  <si>
    <t xml:space="preserve">Estabilización y defensa</t>
  </si>
  <si>
    <t xml:space="preserve">Nota: los sprints S0 y S1 no tienen infraestructura pagada porque el desarrollo de software parte en S2 (semana 5). Cambie la columna I si activa servicios antes.</t>
  </si>
  <si>
    <t xml:space="preserve">Servicios mensualizados en USD y convertidos a CLP con el dólar de referencia. Use 'Incluir' (1/0) para activar o desactivar cada servicio.</t>
  </si>
  <si>
    <t xml:space="preserve">Servicio</t>
  </si>
  <si>
    <t xml:space="preserve">Plan / uso en Alunza</t>
  </si>
  <si>
    <t xml:space="preserve">Proveedor</t>
  </si>
  <si>
    <t xml:space="preserve">USD unitario</t>
  </si>
  <si>
    <t xml:space="preserve">Cantidad</t>
  </si>
  <si>
    <t xml:space="preserve">Meses</t>
  </si>
  <si>
    <t xml:space="preserve">Incluir (1/0)</t>
  </si>
  <si>
    <t xml:space="preserve">Total USD</t>
  </si>
  <si>
    <t xml:space="preserve">Total CLP</t>
  </si>
  <si>
    <t xml:space="preserve">Nota</t>
  </si>
  <si>
    <t xml:space="preserve">Frontend Next.js + previews + Vercel Sandbox</t>
  </si>
  <si>
    <t xml:space="preserve">Vercel Pro (asientos que despliegan)</t>
  </si>
  <si>
    <t xml:space="preserve">Vercel</t>
  </si>
  <si>
    <t xml:space="preserve">US$20 por asiento/mes e incluye US$20 de crédito de uso por asiento (Vercel, may-2026). La plan Hobby no permite uso comercial.</t>
  </si>
  <si>
    <t xml:space="preserve">Consumo adicional de Vercel Sandbox</t>
  </si>
  <si>
    <t xml:space="preserve">Uso sobre el crédito incluido</t>
  </si>
  <si>
    <t xml:space="preserve">Active CPU US$0,128/hora; carga baja de un curso piloto, se reserva un margen.</t>
  </si>
  <si>
    <t xml:space="preserve">Base de datos, Auth, Storage y pgvector</t>
  </si>
  <si>
    <t xml:space="preserve">Supabase Pro</t>
  </si>
  <si>
    <t xml:space="preserve">Supabase</t>
  </si>
  <si>
    <t xml:space="preserve">US$25/mes por proyecto; permite RLS, backups y evita la pausa por inactividad del plan gratuito.</t>
  </si>
  <si>
    <t xml:space="preserve">API NestJS en contenedor</t>
  </si>
  <si>
    <t xml:space="preserve">Azure Container Apps (consumo)</t>
  </si>
  <si>
    <t xml:space="preserve">Microsoft Azure</t>
  </si>
  <si>
    <t xml:space="preserve">Estimación: contenedor pequeño con escala a cero; el plan de consumo incluye una cuota gratuita mensual.</t>
  </si>
  <si>
    <t xml:space="preserve">IA generativa y embeddings</t>
  </si>
  <si>
    <t xml:space="preserve">Azure OpenAI (pago por uso)</t>
  </si>
  <si>
    <t xml:space="preserve">Estimación para un piloto con 2 organizaciones sintéticas; pistas con RAG y embeddings de material oficial.</t>
  </si>
  <si>
    <t xml:space="preserve">Dominio del proyecto</t>
  </si>
  <si>
    <t xml:space="preserve">Dominio .com / .cl anual</t>
  </si>
  <si>
    <t xml:space="preserve">NIC / registrador</t>
  </si>
  <si>
    <t xml:space="preserve">Costo anual referencial; se imputa una sola vez.</t>
  </si>
  <si>
    <t xml:space="preserve">Repositorio y CI/CD</t>
  </si>
  <si>
    <t xml:space="preserve">GitHub (repositorio público + Actions)</t>
  </si>
  <si>
    <t xml:space="preserve">GitHub</t>
  </si>
  <si>
    <t xml:space="preserve">Plan gratuito suficiente para lint, Jest, Cypress y build.</t>
  </si>
  <si>
    <t xml:space="preserve">Diseño de interfaces</t>
  </si>
  <si>
    <t xml:space="preserve">Figma Starter</t>
  </si>
  <si>
    <t xml:space="preserve">Figma</t>
  </si>
  <si>
    <t xml:space="preserve">Plan gratuito para mockups; pasar a Professional (US$15/mes) si se requiere trabajo colaborativo avanzado.</t>
  </si>
  <si>
    <t xml:space="preserve">Monitoreo y errores</t>
  </si>
  <si>
    <t xml:space="preserve">Plan gratuito de observabilidad</t>
  </si>
  <si>
    <t xml:space="preserve">Varios</t>
  </si>
  <si>
    <t xml:space="preserve">Logs de Azure/Vercel y plan gratuito de herramienta de errores.</t>
  </si>
  <si>
    <t xml:space="preserve">Asistente de código con IA</t>
  </si>
  <si>
    <t xml:space="preserve">Licencia individual para desarrollo</t>
  </si>
  <si>
    <t xml:space="preserve">Herramienta habitual en equipos profesionales; desactivar si el equipo no la paga.</t>
  </si>
  <si>
    <t xml:space="preserve">Total infraestructura y herramientas</t>
  </si>
  <si>
    <t xml:space="preserve">Meses facturados: se consideran 4 (sep-dic 2026), pues el desarrollo parte en S2. Los precios deben validarse en la calculadora oficial de cada proveedor antes de contratar.</t>
  </si>
  <si>
    <t xml:space="preserve">Equipamiento y otros costos directos</t>
  </si>
  <si>
    <t xml:space="preserve">Costos asociados al puesto de trabajo y al cierre del proyecto.</t>
  </si>
  <si>
    <t xml:space="preserve">Ítem</t>
  </si>
  <si>
    <t xml:space="preserve">Criterio de cálculo</t>
  </si>
  <si>
    <t xml:space="preserve">Costo unitario (CLP)</t>
  </si>
  <si>
    <t xml:space="preserve">Divisor</t>
  </si>
  <si>
    <t xml:space="preserve">Depreciación de notebooks</t>
  </si>
  <si>
    <t xml:space="preserve">Cantidad × precio ÷ vida útil × meses de proyecto</t>
  </si>
  <si>
    <t xml:space="preserve">Un equipo por integrante; solo se imputa la parte consumida.</t>
  </si>
  <si>
    <t xml:space="preserve">Internet y energía</t>
  </si>
  <si>
    <t xml:space="preserve">Cantidad × costo mensual × meses</t>
  </si>
  <si>
    <t xml:space="preserve">—</t>
  </si>
  <si>
    <t xml:space="preserve">Parte proporcional del trabajo remoto/híbrido.</t>
  </si>
  <si>
    <t xml:space="preserve">Impresión y material de defensa</t>
  </si>
  <si>
    <t xml:space="preserve">Monto único</t>
  </si>
  <si>
    <t xml:space="preserve">Informe final, afiches y presentación.</t>
  </si>
  <si>
    <t xml:space="preserve">Total otros costos directos</t>
  </si>
  <si>
    <t xml:space="preserve">Fuentes y límites del modelo</t>
  </si>
  <si>
    <t xml:space="preserve">Consultadas en septiembre-octubre de 2026.</t>
  </si>
  <si>
    <t xml:space="preserve">Dato</t>
  </si>
  <si>
    <t xml:space="preserve">Fuente</t>
  </si>
  <si>
    <t xml:space="preserve">Sueldos de ingeniería de software en Chile</t>
  </si>
  <si>
    <t xml:space="preserve">Indeed Chile (actualizado 8/9/2026): promedio $1.559.610; ChileTrabajos (jul-2026): pretensiones promedio $1.125.840; redimin.cl con cifras MiFuturo/Duoc UC: $1.550.000 a 4° año de Informática.</t>
  </si>
  <si>
    <t xml:space="preserve">Cotización del empleador desde agosto 2026</t>
  </si>
  <si>
    <t xml:space="preserve">24horas.cl y Mega (30/07/2026): sube de 1% a 3,5%; KPMG Chile, alerta laboral (2/07/2026): AFC 2,4% y COE; Superintendencia de Pensiones (spensiones.cl).</t>
  </si>
  <si>
    <t xml:space="preserve">Ingreso Mínimo Mensual</t>
  </si>
  <si>
    <t xml:space="preserve">Ley 21.830 (D.O. 22/06/2026): $553.553 desde el 1/05/2026.</t>
  </si>
  <si>
    <t xml:space="preserve">UF y dólar</t>
  </si>
  <si>
    <t xml:space="preserve">calcular.cl (UF 1/10/2026: $41.065,38); Banco Central de Chile (dólar observado $920,26 el 20/08/2026).</t>
  </si>
  <si>
    <t xml:space="preserve">Precios Vercel</t>
  </si>
  <si>
    <t xml:space="preserve">Documentación de Vercel Pro (jul-2026) y makerkit.dev (verificado en may-2026): US$20/asiento/mes con crédito de US$20; Active CPU US$0,128/hora.</t>
  </si>
  <si>
    <t xml:space="preserve">Precios Supabase</t>
  </si>
  <si>
    <t xml:space="preserve">Plan Pro desde US$25/mensuales (nocode.mba, 2026); el cómputo adicional puede elevar el costo.</t>
  </si>
  <si>
    <t xml:space="preserve">Azure Container Apps y Azure OpenAI</t>
  </si>
  <si>
    <t xml:space="preserve">Estimaciones del equipo para un piloto de bajo volumen; validar en la calculadora de precios de Azure.</t>
  </si>
  <si>
    <t xml:space="preserve">Línea base de Fase 1</t>
  </si>
  <si>
    <t xml:space="preserve">Acta de Constitución y Roadmap Ágil de Alunza: 540 h, $8.000/h, $265.000 de costos directos, 27 HU, 184 puntos.</t>
  </si>
  <si>
    <t xml:space="preserve">Límites del modelo</t>
  </si>
  <si>
    <t xml:space="preserve">No incluye impuestos a las ventas, indemnizaciones, bonos ni costos de oportunidad. Las horas por sprint replican la distribución del Sprint 2 hasta contar con horas reales. Los precios de nube cambian con frecuencia: confirmar antes de usarlos como compromiso.</t>
  </si>
</sst>
</file>

<file path=xl/styles.xml><?xml version="1.0" encoding="utf-8"?>
<styleSheet xmlns="http://schemas.openxmlformats.org/spreadsheetml/2006/main">
  <numFmts count="9">
    <numFmt numFmtId="164" formatCode="General"/>
    <numFmt numFmtId="165" formatCode="\$#,##0;&quot;($&quot;#,##0\);\-"/>
    <numFmt numFmtId="166" formatCode="0.0%"/>
    <numFmt numFmtId="167" formatCode="#,##0.0"/>
    <numFmt numFmtId="168" formatCode="&quot;US$&quot;#,##0.00;&quot;(US$&quot;#,##0.00\);\-"/>
    <numFmt numFmtId="169" formatCode="#,##0;\(#,##0\);\-"/>
    <numFmt numFmtId="170" formatCode="\$#,##0.00"/>
    <numFmt numFmtId="171" formatCode="#,##0.0;\(#,##0.0\);\-"/>
    <numFmt numFmtId="172" formatCode="0.00%"/>
  </numFmts>
  <fonts count="13">
    <font>
      <sz val="11"/>
      <color theme="1"/>
      <name val="Calibri"/>
      <family val="2"/>
      <charset val="1"/>
    </font>
    <font>
      <sz val="10"/>
      <name val="Arial"/>
      <family val="0"/>
    </font>
    <font>
      <sz val="10"/>
      <name val="Arial"/>
      <family val="0"/>
    </font>
    <font>
      <sz val="10"/>
      <name val="Arial"/>
      <family val="0"/>
    </font>
    <font>
      <b val="true"/>
      <sz val="16"/>
      <color rgb="FF1F2D4A"/>
      <name val="Arial"/>
      <family val="0"/>
      <charset val="1"/>
    </font>
    <font>
      <i val="true"/>
      <sz val="10"/>
      <color rgb="FF555555"/>
      <name val="Arial"/>
      <family val="0"/>
      <charset val="1"/>
    </font>
    <font>
      <b val="true"/>
      <sz val="10"/>
      <name val="Arial"/>
      <family val="0"/>
      <charset val="1"/>
    </font>
    <font>
      <b val="true"/>
      <sz val="10"/>
      <color rgb="FFFFFFFF"/>
      <name val="Arial"/>
      <family val="0"/>
      <charset val="1"/>
    </font>
    <font>
      <sz val="10"/>
      <name val="Arial"/>
      <family val="0"/>
      <charset val="1"/>
    </font>
    <font>
      <sz val="10"/>
      <color rgb="FF008000"/>
      <name val="Arial"/>
      <family val="0"/>
      <charset val="1"/>
    </font>
    <font>
      <sz val="10"/>
      <color rgb="FF0000FF"/>
      <name val="Arial"/>
      <family val="0"/>
      <charset val="1"/>
    </font>
    <font>
      <b val="true"/>
      <sz val="18"/>
      <color rgb="FF000000"/>
      <name val="Calibri"/>
      <family val="2"/>
    </font>
    <font>
      <sz val="10"/>
      <color rgb="FF000000"/>
      <name val="Calibri"/>
      <family val="2"/>
    </font>
  </fonts>
  <fills count="6">
    <fill>
      <patternFill patternType="none"/>
    </fill>
    <fill>
      <patternFill patternType="gray125"/>
    </fill>
    <fill>
      <patternFill patternType="solid">
        <fgColor rgb="FF1F3A68"/>
        <bgColor rgb="FF1F2D4A"/>
      </patternFill>
    </fill>
    <fill>
      <patternFill patternType="solid">
        <fgColor rgb="FFEEF2F8"/>
        <bgColor rgb="FFF9F9F9"/>
      </patternFill>
    </fill>
    <fill>
      <patternFill patternType="solid">
        <fgColor rgb="FFFFFF99"/>
        <bgColor rgb="FFF9F9F9"/>
      </patternFill>
    </fill>
    <fill>
      <patternFill patternType="solid">
        <fgColor rgb="FFDCE6F5"/>
        <bgColor rgb="FFEEF2F8"/>
      </patternFill>
    </fill>
  </fills>
  <borders count="2">
    <border diagonalUp="false" diagonalDown="false">
      <left/>
      <right/>
      <top/>
      <bottom/>
      <diagonal/>
    </border>
    <border diagonalUp="false" diagonalDown="false">
      <left style="thin">
        <color rgb="FFB8C2D3"/>
      </left>
      <right style="thin">
        <color rgb="FFB8C2D3"/>
      </right>
      <top style="thin">
        <color rgb="FFB8C2D3"/>
      </top>
      <bottom style="thin">
        <color rgb="FFB8C2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5" fontId="9" fillId="0" borderId="1" xfId="0" applyFont="true" applyBorder="true" applyAlignment="true" applyProtection="false">
      <alignment horizontal="general" vertical="center" textRotation="0" wrapText="false" indent="0" shrinkToFit="false"/>
      <protection locked="true" hidden="false"/>
    </xf>
    <xf numFmtId="166" fontId="8" fillId="0" borderId="1" xfId="0" applyFont="true" applyBorder="true" applyAlignment="true" applyProtection="false">
      <alignment horizontal="general" vertical="center" textRotation="0" wrapText="false" indent="0" shrinkToFit="false"/>
      <protection locked="true" hidden="false"/>
    </xf>
    <xf numFmtId="167" fontId="8" fillId="0" borderId="1"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false" indent="0" shrinkToFit="false"/>
      <protection locked="true" hidden="false"/>
    </xf>
    <xf numFmtId="165" fontId="6" fillId="3" borderId="1" xfId="0" applyFont="true" applyBorder="true" applyAlignment="true" applyProtection="false">
      <alignment horizontal="general" vertical="center" textRotation="0" wrapText="false" indent="0" shrinkToFit="false"/>
      <protection locked="true" hidden="false"/>
    </xf>
    <xf numFmtId="166" fontId="8" fillId="3" borderId="1" xfId="0" applyFont="true" applyBorder="true" applyAlignment="true" applyProtection="false">
      <alignment horizontal="general" vertical="center" textRotation="0" wrapText="false" indent="0" shrinkToFit="false"/>
      <protection locked="true" hidden="false"/>
    </xf>
    <xf numFmtId="167" fontId="8" fillId="3" borderId="1" xfId="0" applyFont="true" applyBorder="tru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general" vertical="center" textRotation="0" wrapText="false" indent="0" shrinkToFit="false"/>
      <protection locked="true" hidden="false"/>
    </xf>
    <xf numFmtId="164" fontId="6" fillId="4" borderId="1" xfId="0" applyFont="true" applyBorder="true" applyAlignment="true" applyProtection="false">
      <alignment horizontal="general" vertical="center" textRotation="0" wrapText="false" indent="0" shrinkToFit="false"/>
      <protection locked="true" hidden="false"/>
    </xf>
    <xf numFmtId="165" fontId="6" fillId="4" borderId="1" xfId="0" applyFont="true" applyBorder="true" applyAlignment="true" applyProtection="false">
      <alignment horizontal="general" vertical="center" textRotation="0" wrapText="false" indent="0" shrinkToFit="false"/>
      <protection locked="true" hidden="false"/>
    </xf>
    <xf numFmtId="166" fontId="8" fillId="4" borderId="1" xfId="0" applyFont="true" applyBorder="true" applyAlignment="true" applyProtection="false">
      <alignment horizontal="general" vertical="center" textRotation="0" wrapText="false" indent="0" shrinkToFit="false"/>
      <protection locked="true" hidden="false"/>
    </xf>
    <xf numFmtId="167" fontId="6" fillId="4" borderId="1" xfId="0" applyFont="true" applyBorder="tru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general" vertical="center" textRotation="0" wrapText="false" indent="0" shrinkToFit="false"/>
      <protection locked="true" hidden="false"/>
    </xf>
    <xf numFmtId="168" fontId="8" fillId="0" borderId="1" xfId="0" applyFont="true" applyBorder="true" applyAlignment="true" applyProtection="false">
      <alignment horizontal="general" vertical="center" textRotation="0" wrapText="false" indent="0" shrinkToFit="false"/>
      <protection locked="true" hidden="false"/>
    </xf>
    <xf numFmtId="165" fontId="8" fillId="0" borderId="1" xfId="0" applyFont="true" applyBorder="true" applyAlignment="true" applyProtection="false">
      <alignment horizontal="general" vertical="center" textRotation="0" wrapText="false" indent="0" shrinkToFit="false"/>
      <protection locked="true" hidden="false"/>
    </xf>
    <xf numFmtId="165" fontId="10" fillId="0" borderId="1" xfId="0" applyFont="true" applyBorder="true" applyAlignment="true" applyProtection="false">
      <alignment horizontal="general" vertical="center" textRotation="0" wrapText="false" indent="0" shrinkToFit="false"/>
      <protection locked="true" hidden="false"/>
    </xf>
    <xf numFmtId="166" fontId="6" fillId="3" borderId="1" xfId="0" applyFont="true" applyBorder="true" applyAlignment="true" applyProtection="false">
      <alignment horizontal="general" vertical="center" textRotation="0" wrapText="false" indent="0" shrinkToFit="false"/>
      <protection locked="true" hidden="false"/>
    </xf>
    <xf numFmtId="169" fontId="9" fillId="0" borderId="1" xfId="0" applyFont="true" applyBorder="true" applyAlignment="true" applyProtection="false">
      <alignment horizontal="general" vertical="center"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70" fontId="10" fillId="4" borderId="1" xfId="0" applyFont="true" applyBorder="true" applyAlignment="true" applyProtection="false">
      <alignment horizontal="right" vertical="center"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71" fontId="10" fillId="0" borderId="1" xfId="0" applyFont="true" applyBorder="true" applyAlignment="true" applyProtection="false">
      <alignment horizontal="right" vertical="center" textRotation="0" wrapText="false" indent="0" shrinkToFit="false"/>
      <protection locked="true" hidden="false"/>
    </xf>
    <xf numFmtId="169" fontId="10" fillId="0" borderId="1" xfId="0" applyFont="true" applyBorder="true" applyAlignment="true" applyProtection="false">
      <alignment horizontal="right" vertical="center" textRotation="0" wrapText="false" indent="0" shrinkToFit="false"/>
      <protection locked="true" hidden="false"/>
    </xf>
    <xf numFmtId="171" fontId="8" fillId="0" borderId="1" xfId="0" applyFont="true" applyBorder="true" applyAlignment="true" applyProtection="false">
      <alignment horizontal="right" vertical="center"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72" fontId="10" fillId="0" borderId="1" xfId="0" applyFont="true" applyBorder="true" applyAlignment="true" applyProtection="false">
      <alignment horizontal="right" vertical="center" textRotation="0" wrapText="fals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65" fontId="10" fillId="4" borderId="1" xfId="0" applyFont="true" applyBorder="true" applyAlignment="true" applyProtection="false">
      <alignment horizontal="right" vertical="center" textRotation="0" wrapText="false" indent="0" shrinkToFit="false"/>
      <protection locked="true" hidden="false"/>
    </xf>
    <xf numFmtId="166" fontId="10" fillId="4" borderId="1" xfId="0" applyFont="true" applyBorder="true" applyAlignment="true" applyProtection="false">
      <alignment horizontal="right"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5" fontId="10" fillId="4" borderId="1" xfId="0" applyFont="true" applyBorder="true" applyAlignment="true" applyProtection="false">
      <alignment horizontal="general" vertical="center" textRotation="0" wrapText="false" indent="0" shrinkToFit="false"/>
      <protection locked="true" hidden="false"/>
    </xf>
    <xf numFmtId="165" fontId="6" fillId="0" borderId="1" xfId="0" applyFont="true" applyBorder="true" applyAlignment="true" applyProtection="false">
      <alignment horizontal="general" vertical="center" textRotation="0" wrapText="false" indent="0" shrinkToFit="false"/>
      <protection locked="true" hidden="false"/>
    </xf>
    <xf numFmtId="171" fontId="9" fillId="0" borderId="1" xfId="0" applyFont="true" applyBorder="true" applyAlignment="true" applyProtection="false">
      <alignment horizontal="general" vertical="center" textRotation="0" wrapText="false" indent="0" shrinkToFit="false"/>
      <protection locked="true" hidden="false"/>
    </xf>
    <xf numFmtId="169" fontId="6" fillId="3" borderId="1"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9" fontId="8" fillId="0" borderId="1" xfId="0" applyFont="true" applyBorder="true" applyAlignment="true" applyProtection="false">
      <alignment horizontal="general" vertical="center" textRotation="0" wrapText="false" indent="0" shrinkToFit="false"/>
      <protection locked="true" hidden="false"/>
    </xf>
    <xf numFmtId="169" fontId="10" fillId="0" borderId="1" xfId="0" applyFont="true" applyBorder="true" applyAlignment="true" applyProtection="false">
      <alignment horizontal="center" vertical="center" textRotation="0" wrapText="false" indent="0" shrinkToFit="false"/>
      <protection locked="true" hidden="false"/>
    </xf>
    <xf numFmtId="169" fontId="6" fillId="3" borderId="1" xfId="0" applyFont="true" applyBorder="true" applyAlignment="true" applyProtection="false">
      <alignment horizontal="center" vertical="center" textRotation="0" wrapText="false" indent="0" shrinkToFit="false"/>
      <protection locked="true" hidden="false"/>
    </xf>
    <xf numFmtId="168" fontId="10" fillId="0" borderId="1" xfId="0" applyFont="true" applyBorder="true" applyAlignment="true" applyProtection="false">
      <alignment horizontal="general" vertical="center" textRotation="0" wrapText="false" indent="0" shrinkToFit="false"/>
      <protection locked="true" hidden="false"/>
    </xf>
    <xf numFmtId="168" fontId="6" fillId="3"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C2D3"/>
      <rgbColor rgb="FF878787"/>
      <rgbColor rgb="FF9999FF"/>
      <rgbColor rgb="FF993366"/>
      <rgbColor rgb="FFF9F9F9"/>
      <rgbColor rgb="FFEEF2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6F5"/>
      <rgbColor rgb="FFCCFFCC"/>
      <rgbColor rgb="FFFFFF99"/>
      <rgbColor rgb="FF99CCFF"/>
      <rgbColor rgb="FFFF99CC"/>
      <rgbColor rgb="FFCC99FF"/>
      <rgbColor rgb="FFFFCC99"/>
      <rgbColor rgb="FF4F81BD"/>
      <rgbColor rgb="FF33CCCC"/>
      <rgbColor rgb="FF99CC00"/>
      <rgbColor rgb="FFFFCC00"/>
      <rgbColor rgb="FFFF9900"/>
      <rgbColor rgb="FFFF6600"/>
      <rgbColor rgb="FF4A7EBB"/>
      <rgbColor rgb="FF969696"/>
      <rgbColor rgb="FF1F3A68"/>
      <rgbColor rgb="FF339966"/>
      <rgbColor rgb="FF003300"/>
      <rgbColor rgb="FF333300"/>
      <rgbColor rgb="FF993300"/>
      <rgbColor rgb="FF993366"/>
      <rgbColor rgb="FF555555"/>
      <rgbColor rgb="FF1F2D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Costo por categoría (CLP)</a:t>
            </a:r>
          </a:p>
        </c:rich>
      </c:tx>
      <c:overlay val="0"/>
      <c:spPr>
        <a:noFill/>
        <a:ln w="0">
          <a:noFill/>
        </a:ln>
      </c:spPr>
    </c:title>
    <c:autoTitleDeleted val="0"/>
    <c:plotArea>
      <c:barChart>
        <c:barDir val="col"/>
        <c:grouping val="clustered"/>
        <c:varyColors val="0"/>
        <c:ser>
          <c:idx val="0"/>
          <c:order val="0"/>
          <c:tx>
            <c:strRef>
              <c:f>Resumen!B5</c:f>
              <c:strCache>
                <c:ptCount val="1"/>
                <c:pt idx="0">
                  <c:v>Monto (CLP)</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Resumen!$A$6:$A$8</c:f>
              <c:strCache>
                <c:ptCount val="3"/>
                <c:pt idx="0">
                  <c:v>Recurso humano (3 profesionales)</c:v>
                </c:pt>
                <c:pt idx="1">
                  <c:v>Infraestructura cloud y herramientas</c:v>
                </c:pt>
                <c:pt idx="2">
                  <c:v>Equipamiento y otros directos</c:v>
                </c:pt>
              </c:strCache>
            </c:strRef>
          </c:cat>
          <c:val>
            <c:numRef>
              <c:f>Resumen!$B$6:$B$8</c:f>
              <c:numCache>
                <c:formatCode>\$#,##0;"($"#,##0\);\-</c:formatCode>
                <c:ptCount val="3"/>
                <c:pt idx="0">
                  <c:v>5678043.42365426</c:v>
                </c:pt>
                <c:pt idx="1">
                  <c:v>661375</c:v>
                </c:pt>
                <c:pt idx="2">
                  <c:v>653076.923076923</c:v>
                </c:pt>
              </c:numCache>
            </c:numRef>
          </c:val>
        </c:ser>
        <c:gapWidth val="150"/>
        <c:overlap val="0"/>
        <c:axId val="59683953"/>
        <c:axId val="55218594"/>
      </c:barChart>
      <c:catAx>
        <c:axId val="5968395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218594"/>
        <c:crosses val="autoZero"/>
        <c:auto val="1"/>
        <c:lblAlgn val="ctr"/>
        <c:lblOffset val="100"/>
        <c:noMultiLvlLbl val="0"/>
      </c:catAx>
      <c:valAx>
        <c:axId val="55218594"/>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68395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Costo acumulado por sprint (CLP)</a:t>
            </a:r>
          </a:p>
        </c:rich>
      </c:tx>
      <c:overlay val="0"/>
      <c:spPr>
        <a:noFill/>
        <a:ln w="0">
          <a:noFill/>
        </a:ln>
      </c:spPr>
    </c:title>
    <c:autoTitleDeleted val="0"/>
    <c:plotArea>
      <c:lineChart>
        <c:grouping val="standard"/>
        <c:varyColors val="0"/>
        <c:ser>
          <c:idx val="0"/>
          <c:order val="0"/>
          <c:tx>
            <c:strRef>
              <c:f>'Por sprint'!O4</c:f>
              <c:strCache>
                <c:ptCount val="1"/>
                <c:pt idx="0">
                  <c:v>Acumulado</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'Por sprint'!$A$5:$A$13</c:f>
              <c:strCache>
                <c:ptCount val="9"/>
                <c:pt idx="0">
                  <c:v>S0</c:v>
                </c:pt>
                <c:pt idx="1">
                  <c:v>S1</c:v>
                </c:pt>
                <c:pt idx="2">
                  <c:v>S2</c:v>
                </c:pt>
                <c:pt idx="3">
                  <c:v>S3</c:v>
                </c:pt>
                <c:pt idx="4">
                  <c:v>S4</c:v>
                </c:pt>
                <c:pt idx="5">
                  <c:v>S5</c:v>
                </c:pt>
                <c:pt idx="6">
                  <c:v>S6</c:v>
                </c:pt>
                <c:pt idx="7">
                  <c:v>S7</c:v>
                </c:pt>
                <c:pt idx="8">
                  <c:v>S8</c:v>
                </c:pt>
              </c:strCache>
            </c:strRef>
          </c:cat>
          <c:val>
            <c:numRef>
              <c:f>'Por sprint'!$O$5:$O$13</c:f>
              <c:numCache>
                <c:formatCode>\$#,##0;"($"#,##0\);\-</c:formatCode>
                <c:ptCount val="9"/>
                <c:pt idx="0">
                  <c:v>808976.488748984</c:v>
                </c:pt>
                <c:pt idx="1">
                  <c:v>1617952.97749797</c:v>
                </c:pt>
                <c:pt idx="2">
                  <c:v>2535583.93053267</c:v>
                </c:pt>
                <c:pt idx="3">
                  <c:v>3453214.88356736</c:v>
                </c:pt>
                <c:pt idx="4">
                  <c:v>4370845.83660206</c:v>
                </c:pt>
                <c:pt idx="5">
                  <c:v>5288476.78963676</c:v>
                </c:pt>
                <c:pt idx="6">
                  <c:v>6206107.74267146</c:v>
                </c:pt>
                <c:pt idx="7">
                  <c:v>7123738.69570616</c:v>
                </c:pt>
                <c:pt idx="8">
                  <c:v>8041369.64874086</c:v>
                </c:pt>
              </c:numCache>
            </c:numRef>
          </c:val>
          <c:smooth val="1"/>
        </c:ser>
        <c:hiLowLines>
          <c:spPr>
            <a:ln w="0">
              <a:noFill/>
            </a:ln>
          </c:spPr>
        </c:hiLowLines>
        <c:marker val="0"/>
        <c:axId val="35217999"/>
        <c:axId val="23296694"/>
      </c:lineChart>
      <c:catAx>
        <c:axId val="3521799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296694"/>
        <c:crosses val="autoZero"/>
        <c:auto val="1"/>
        <c:lblAlgn val="ctr"/>
        <c:lblOffset val="100"/>
        <c:noMultiLvlLbl val="0"/>
      </c:catAx>
      <c:valAx>
        <c:axId val="23296694"/>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21799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131040</xdr:rowOff>
    </xdr:from>
    <xdr:to>
      <xdr:col>15</xdr:col>
      <xdr:colOff>147600</xdr:colOff>
      <xdr:row>14</xdr:row>
      <xdr:rowOff>89280</xdr:rowOff>
    </xdr:to>
    <xdr:graphicFrame>
      <xdr:nvGraphicFramePr>
        <xdr:cNvPr id="0" name="Chart 1"/>
        <xdr:cNvGraphicFramePr/>
      </xdr:nvGraphicFramePr>
      <xdr:xfrm>
        <a:off x="12875760" y="571680"/>
        <a:ext cx="50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17</xdr:row>
      <xdr:rowOff>208800</xdr:rowOff>
    </xdr:from>
    <xdr:to>
      <xdr:col>15</xdr:col>
      <xdr:colOff>147600</xdr:colOff>
      <xdr:row>29</xdr:row>
      <xdr:rowOff>54720</xdr:rowOff>
    </xdr:to>
    <xdr:graphicFrame>
      <xdr:nvGraphicFramePr>
        <xdr:cNvPr id="1" name="Chart 2"/>
        <xdr:cNvGraphicFramePr/>
      </xdr:nvGraphicFramePr>
      <xdr:xfrm>
        <a:off x="12875760" y="4305240"/>
        <a:ext cx="503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8"/>
    <col collapsed="false" customWidth="true" hidden="false" outlineLevel="0" max="5" min="5" style="0" width="16"/>
    <col collapsed="false" customWidth="true" hidden="false" outlineLevel="0" max="6" min="6" style="0" width="6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42" hidden="false" customHeight="true" outlineLevel="0" collapsed="false">
      <c r="A5" s="4" t="s">
        <v>3</v>
      </c>
      <c r="B5" s="4" t="s">
        <v>4</v>
      </c>
      <c r="C5" s="4" t="s">
        <v>5</v>
      </c>
      <c r="D5" s="4" t="s">
        <v>6</v>
      </c>
      <c r="E5" s="4"/>
      <c r="F5" s="4" t="s">
        <v>7</v>
      </c>
    </row>
    <row r="6" customFormat="false" ht="15" hidden="false" customHeight="false" outlineLevel="0" collapsed="false">
      <c r="A6" s="5" t="s">
        <v>8</v>
      </c>
      <c r="B6" s="6" t="n">
        <f aca="false">RRHH!M9</f>
        <v>5678043.42365426</v>
      </c>
      <c r="C6" s="7" t="n">
        <f aca="false">B6/$B$12</f>
        <v>0.706104018554021</v>
      </c>
      <c r="D6" s="8" t="n">
        <f aca="false">B6/Supuestos!$B$6</f>
        <v>138.268376517014</v>
      </c>
      <c r="E6" s="9"/>
      <c r="F6" s="10" t="s">
        <v>9</v>
      </c>
    </row>
    <row r="7" customFormat="false" ht="15" hidden="false" customHeight="false" outlineLevel="0" collapsed="false">
      <c r="A7" s="5" t="s">
        <v>10</v>
      </c>
      <c r="B7" s="6" t="n">
        <f aca="false">Infraestructura!I16</f>
        <v>661375</v>
      </c>
      <c r="C7" s="7" t="n">
        <f aca="false">B7/$B$12</f>
        <v>0.0822465610822356</v>
      </c>
      <c r="D7" s="8" t="n">
        <f aca="false">B7/Supuestos!$B$6</f>
        <v>16.1054153157721</v>
      </c>
      <c r="E7" s="9"/>
      <c r="F7" s="10" t="s">
        <v>11</v>
      </c>
    </row>
    <row r="8" customFormat="false" ht="23.85" hidden="false" customHeight="false" outlineLevel="0" collapsed="false">
      <c r="A8" s="5" t="s">
        <v>12</v>
      </c>
      <c r="B8" s="6" t="n">
        <f aca="false">'Otros costos'!G9</f>
        <v>653076.923076923</v>
      </c>
      <c r="C8" s="7" t="n">
        <f aca="false">B8/$B$12</f>
        <v>0.0812146377550476</v>
      </c>
      <c r="D8" s="8" t="n">
        <f aca="false">B8/Supuestos!$B$6</f>
        <v>15.9033454232476</v>
      </c>
      <c r="E8" s="9"/>
      <c r="F8" s="10" t="s">
        <v>13</v>
      </c>
    </row>
    <row r="9" customFormat="false" ht="15" hidden="false" customHeight="false" outlineLevel="0" collapsed="false">
      <c r="A9" s="11" t="s">
        <v>14</v>
      </c>
      <c r="B9" s="12" t="n">
        <f aca="false">SUM(B6:B8)</f>
        <v>6992495.34673118</v>
      </c>
      <c r="C9" s="13" t="n">
        <f aca="false">B9/$B$12</f>
        <v>0.869565217391304</v>
      </c>
      <c r="D9" s="14" t="n">
        <f aca="false">B9/Supuestos!$B$6</f>
        <v>170.277137256034</v>
      </c>
      <c r="E9" s="9"/>
      <c r="F9" s="15"/>
    </row>
    <row r="10" customFormat="false" ht="15" hidden="false" customHeight="false" outlineLevel="0" collapsed="false">
      <c r="A10" s="5" t="s">
        <v>15</v>
      </c>
      <c r="B10" s="6" t="n">
        <f aca="false">B9*Supuestos!$B$31</f>
        <v>349624.767336559</v>
      </c>
      <c r="C10" s="7" t="n">
        <f aca="false">B10/$B$12</f>
        <v>0.0434782608695652</v>
      </c>
      <c r="D10" s="8" t="n">
        <f aca="false">B10/Supuestos!$B$6</f>
        <v>8.51385686280168</v>
      </c>
      <c r="E10" s="9"/>
      <c r="F10" s="10" t="s">
        <v>16</v>
      </c>
    </row>
    <row r="11" customFormat="false" ht="15" hidden="false" customHeight="false" outlineLevel="0" collapsed="false">
      <c r="A11" s="5" t="s">
        <v>17</v>
      </c>
      <c r="B11" s="6" t="n">
        <f aca="false">B9*Supuestos!$B$32</f>
        <v>699249.534673118</v>
      </c>
      <c r="C11" s="7" t="n">
        <f aca="false">B11/$B$12</f>
        <v>0.0869565217391305</v>
      </c>
      <c r="D11" s="8" t="n">
        <f aca="false">B11/Supuestos!$B$6</f>
        <v>17.0277137256034</v>
      </c>
      <c r="E11" s="9"/>
      <c r="F11" s="10" t="s">
        <v>18</v>
      </c>
    </row>
    <row r="12" customFormat="false" ht="15" hidden="false" customHeight="false" outlineLevel="0" collapsed="false">
      <c r="A12" s="16" t="s">
        <v>19</v>
      </c>
      <c r="B12" s="17" t="n">
        <f aca="false">B9+B10+B11</f>
        <v>8041369.64874086</v>
      </c>
      <c r="C12" s="18" t="n">
        <f aca="false">B12/$B$12</f>
        <v>1</v>
      </c>
      <c r="D12" s="19" t="n">
        <f aca="false">B12/Supuestos!$B$6</f>
        <v>195.818707844439</v>
      </c>
      <c r="E12" s="9"/>
      <c r="F12" s="20" t="s">
        <v>20</v>
      </c>
    </row>
    <row r="13" customFormat="false" ht="15" hidden="false" customHeight="false" outlineLevel="0" collapsed="false">
      <c r="A13" s="5" t="s">
        <v>21</v>
      </c>
      <c r="B13" s="21" t="n">
        <f aca="false">B12/Supuestos!$B$7</f>
        <v>8693.37259323336</v>
      </c>
      <c r="C13" s="5"/>
      <c r="D13" s="5"/>
      <c r="F13" s="5"/>
    </row>
    <row r="14" customFormat="false" ht="15" hidden="false" customHeight="false" outlineLevel="0" collapsed="false">
      <c r="A14" s="5" t="s">
        <v>22</v>
      </c>
      <c r="B14" s="6" t="n">
        <f aca="false">B12-'Por sprint'!N14</f>
        <v>0</v>
      </c>
      <c r="C14" s="5"/>
      <c r="D14" s="5"/>
      <c r="F14" s="5"/>
    </row>
    <row r="16" customFormat="false" ht="15" hidden="false" customHeight="false" outlineLevel="0" collapsed="false">
      <c r="A16" s="3" t="s">
        <v>23</v>
      </c>
    </row>
    <row r="17" customFormat="false" ht="42" hidden="false" customHeight="true" outlineLevel="0" collapsed="false">
      <c r="A17" s="4" t="s">
        <v>3</v>
      </c>
      <c r="B17" s="4" t="s">
        <v>24</v>
      </c>
      <c r="C17" s="4" t="s">
        <v>25</v>
      </c>
      <c r="D17" s="4" t="s">
        <v>26</v>
      </c>
      <c r="E17" s="4" t="s">
        <v>27</v>
      </c>
      <c r="F17" s="4" t="s">
        <v>28</v>
      </c>
    </row>
    <row r="18" customFormat="false" ht="23.85" hidden="false" customHeight="false" outlineLevel="0" collapsed="false">
      <c r="A18" s="5" t="s">
        <v>29</v>
      </c>
      <c r="B18" s="6" t="n">
        <f aca="false">Supuestos!$B$34*Supuestos!$B$35</f>
        <v>4320000</v>
      </c>
      <c r="C18" s="22" t="n">
        <f aca="false">B6</f>
        <v>5678043.42365426</v>
      </c>
      <c r="D18" s="22" t="n">
        <f aca="false">C18-B18</f>
        <v>1358043.42365426</v>
      </c>
      <c r="E18" s="7" t="n">
        <f aca="false">IF(B18=0,0,D18/B18)</f>
        <v>0.31436190362367</v>
      </c>
      <c r="F18" s="10" t="s">
        <v>30</v>
      </c>
    </row>
    <row r="19" customFormat="false" ht="23.85" hidden="false" customHeight="false" outlineLevel="0" collapsed="false">
      <c r="A19" s="5" t="s">
        <v>31</v>
      </c>
      <c r="B19" s="6" t="n">
        <f aca="false">Supuestos!$B$36</f>
        <v>265000</v>
      </c>
      <c r="C19" s="22" t="n">
        <f aca="false">B7+B8</f>
        <v>1314451.92307692</v>
      </c>
      <c r="D19" s="22" t="n">
        <f aca="false">C19-B19</f>
        <v>1049451.92307692</v>
      </c>
      <c r="E19" s="7" t="n">
        <f aca="false">IF(B19=0,0,D19/B19)</f>
        <v>3.96019593613933</v>
      </c>
      <c r="F19" s="10" t="s">
        <v>32</v>
      </c>
    </row>
    <row r="20" customFormat="false" ht="15" hidden="false" customHeight="false" outlineLevel="0" collapsed="false">
      <c r="A20" s="5" t="s">
        <v>33</v>
      </c>
      <c r="B20" s="23" t="n">
        <v>0</v>
      </c>
      <c r="C20" s="22" t="n">
        <f aca="false">B10+B11</f>
        <v>1048874.30200968</v>
      </c>
      <c r="D20" s="22" t="n">
        <f aca="false">C20-B20</f>
        <v>1048874.30200968</v>
      </c>
      <c r="E20" s="7" t="n">
        <f aca="false">IF(B20=0,0,D20/B20)</f>
        <v>0</v>
      </c>
      <c r="F20" s="10" t="s">
        <v>34</v>
      </c>
    </row>
    <row r="21" customFormat="false" ht="15" hidden="false" customHeight="false" outlineLevel="0" collapsed="false">
      <c r="A21" s="11" t="s">
        <v>35</v>
      </c>
      <c r="B21" s="12" t="n">
        <f aca="false">SUM(B18:B20)</f>
        <v>4585000</v>
      </c>
      <c r="C21" s="12" t="n">
        <f aca="false">SUM(C18:C20)</f>
        <v>8041369.64874086</v>
      </c>
      <c r="D21" s="12" t="n">
        <f aca="false">C21-B21</f>
        <v>3456369.64874086</v>
      </c>
      <c r="E21" s="24" t="n">
        <f aca="false">IF(B21=0,0,D21/B21)</f>
        <v>0.753842889583611</v>
      </c>
      <c r="F21" s="15"/>
    </row>
    <row r="23" customFormat="false" ht="15" hidden="false" customHeight="false" outlineLevel="0" collapsed="false">
      <c r="A23" s="3" t="s">
        <v>36</v>
      </c>
    </row>
    <row r="24" customFormat="false" ht="42" hidden="false" customHeight="true" outlineLevel="0" collapsed="false">
      <c r="A24" s="4" t="s">
        <v>37</v>
      </c>
      <c r="B24" s="4" t="s">
        <v>38</v>
      </c>
      <c r="C24" s="4"/>
      <c r="D24" s="4"/>
      <c r="E24" s="4"/>
      <c r="F24" s="4" t="s">
        <v>39</v>
      </c>
    </row>
    <row r="25" customFormat="false" ht="15" hidden="false" customHeight="false" outlineLevel="0" collapsed="false">
      <c r="A25" s="5" t="s">
        <v>40</v>
      </c>
      <c r="B25" s="6" t="n">
        <f aca="false">RRHH!K9</f>
        <v>10514.8952289894</v>
      </c>
      <c r="C25" s="5"/>
      <c r="D25" s="5"/>
      <c r="E25" s="5"/>
      <c r="F25" s="10" t="s">
        <v>41</v>
      </c>
    </row>
    <row r="26" customFormat="false" ht="15" hidden="false" customHeight="false" outlineLevel="0" collapsed="false">
      <c r="A26" s="5" t="s">
        <v>42</v>
      </c>
      <c r="B26" s="6" t="n">
        <f aca="false">B12/Supuestos!$B$15</f>
        <v>446742.758263381</v>
      </c>
      <c r="C26" s="5"/>
      <c r="D26" s="5"/>
      <c r="E26" s="5"/>
      <c r="F26" s="10" t="s">
        <v>43</v>
      </c>
    </row>
    <row r="27" customFormat="false" ht="15" hidden="false" customHeight="false" outlineLevel="0" collapsed="false">
      <c r="A27" s="5" t="s">
        <v>44</v>
      </c>
      <c r="B27" s="6" t="n">
        <f aca="false">B12/Supuestos!$B$37</f>
        <v>43703.0959170699</v>
      </c>
      <c r="C27" s="5"/>
      <c r="D27" s="5"/>
      <c r="E27" s="5"/>
      <c r="F27" s="10" t="s">
        <v>45</v>
      </c>
    </row>
    <row r="28" customFormat="false" ht="15" hidden="false" customHeight="false" outlineLevel="0" collapsed="false">
      <c r="A28" s="5" t="s">
        <v>46</v>
      </c>
      <c r="B28" s="6" t="n">
        <f aca="false">B12/Supuestos!$B$38</f>
        <v>297828.505508921</v>
      </c>
      <c r="C28" s="5"/>
      <c r="D28" s="5"/>
      <c r="E28" s="5"/>
      <c r="F28" s="10" t="s">
        <v>47</v>
      </c>
    </row>
    <row r="29" customFormat="false" ht="15" hidden="false" customHeight="false" outlineLevel="0" collapsed="false">
      <c r="A29" s="5" t="s">
        <v>48</v>
      </c>
      <c r="B29" s="25" t="n">
        <f aca="false">RRHH!L9</f>
        <v>540</v>
      </c>
      <c r="C29" s="5"/>
      <c r="D29" s="5"/>
      <c r="E29" s="5"/>
      <c r="F29" s="10" t="s">
        <v>49</v>
      </c>
    </row>
    <row r="30" customFormat="false" ht="23.85" hidden="false" customHeight="false" outlineLevel="0" collapsed="false">
      <c r="A30" s="5" t="s">
        <v>50</v>
      </c>
      <c r="B30" s="6" t="n">
        <f aca="false">Infraestructura!I16/4</f>
        <v>165343.75</v>
      </c>
      <c r="C30" s="5"/>
      <c r="D30" s="5"/>
      <c r="E30" s="5"/>
      <c r="F30" s="10" t="s">
        <v>51</v>
      </c>
    </row>
    <row r="32" customFormat="false" ht="15" hidden="false" customHeight="false" outlineLevel="0" collapsed="false">
      <c r="A32" s="2" t="s">
        <v>52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6"/>
    <col collapsed="false" customWidth="true" hidden="false" outlineLevel="0" max="4" min="4" style="0" width="92"/>
  </cols>
  <sheetData>
    <row r="1" customFormat="false" ht="19.7" hidden="false" customHeight="false" outlineLevel="0" collapsed="false">
      <c r="A1" s="1" t="s">
        <v>53</v>
      </c>
    </row>
    <row r="2" customFormat="false" ht="15" hidden="false" customHeight="false" outlineLevel="0" collapsed="false">
      <c r="A2" s="2" t="s">
        <v>54</v>
      </c>
    </row>
    <row r="4" customFormat="false" ht="42" hidden="false" customHeight="true" outlineLevel="0" collapsed="false">
      <c r="A4" s="4" t="s">
        <v>55</v>
      </c>
      <c r="B4" s="4" t="s">
        <v>38</v>
      </c>
      <c r="C4" s="4" t="s">
        <v>56</v>
      </c>
      <c r="D4" s="4" t="s">
        <v>57</v>
      </c>
    </row>
    <row r="5" customFormat="false" ht="15" hidden="false" customHeight="false" outlineLevel="0" collapsed="false">
      <c r="A5" s="26" t="s">
        <v>58</v>
      </c>
      <c r="B5" s="27"/>
      <c r="C5" s="27"/>
      <c r="D5" s="27"/>
    </row>
    <row r="6" customFormat="false" ht="15" hidden="false" customHeight="false" outlineLevel="0" collapsed="false">
      <c r="A6" s="5" t="s">
        <v>59</v>
      </c>
      <c r="B6" s="28" t="n">
        <v>41065.38</v>
      </c>
      <c r="C6" s="29" t="s">
        <v>60</v>
      </c>
      <c r="D6" s="10" t="s">
        <v>61</v>
      </c>
    </row>
    <row r="7" customFormat="false" ht="23.85" hidden="false" customHeight="false" outlineLevel="0" collapsed="false">
      <c r="A7" s="5" t="s">
        <v>62</v>
      </c>
      <c r="B7" s="30" t="n">
        <v>925</v>
      </c>
      <c r="C7" s="29" t="s">
        <v>63</v>
      </c>
      <c r="D7" s="10" t="s">
        <v>64</v>
      </c>
    </row>
    <row r="8" customFormat="false" ht="15" hidden="false" customHeight="false" outlineLevel="0" collapsed="false">
      <c r="A8" s="5" t="s">
        <v>65</v>
      </c>
      <c r="B8" s="31" t="n">
        <v>553553</v>
      </c>
      <c r="C8" s="29" t="s">
        <v>60</v>
      </c>
      <c r="D8" s="10" t="s">
        <v>66</v>
      </c>
    </row>
    <row r="9" customFormat="false" ht="15" hidden="false" customHeight="false" outlineLevel="0" collapsed="false">
      <c r="A9" s="26" t="s">
        <v>67</v>
      </c>
      <c r="B9" s="27"/>
      <c r="C9" s="27"/>
      <c r="D9" s="27"/>
    </row>
    <row r="10" customFormat="false" ht="15" hidden="false" customHeight="false" outlineLevel="0" collapsed="false">
      <c r="A10" s="5" t="s">
        <v>68</v>
      </c>
      <c r="B10" s="32" t="n">
        <v>42</v>
      </c>
      <c r="C10" s="29" t="s">
        <v>69</v>
      </c>
      <c r="D10" s="10" t="s">
        <v>70</v>
      </c>
    </row>
    <row r="11" customFormat="false" ht="15" hidden="false" customHeight="false" outlineLevel="0" collapsed="false">
      <c r="A11" s="5" t="s">
        <v>71</v>
      </c>
      <c r="B11" s="33" t="n">
        <v>5</v>
      </c>
      <c r="C11" s="29" t="s">
        <v>72</v>
      </c>
      <c r="D11" s="10" t="s">
        <v>73</v>
      </c>
    </row>
    <row r="12" customFormat="false" ht="15" hidden="false" customHeight="false" outlineLevel="0" collapsed="false">
      <c r="A12" s="5" t="s">
        <v>74</v>
      </c>
      <c r="B12" s="33" t="n">
        <v>15</v>
      </c>
      <c r="C12" s="29" t="s">
        <v>75</v>
      </c>
      <c r="D12" s="10" t="s">
        <v>76</v>
      </c>
    </row>
    <row r="13" customFormat="false" ht="15" hidden="false" customHeight="false" outlineLevel="0" collapsed="false">
      <c r="A13" s="5" t="s">
        <v>77</v>
      </c>
      <c r="B13" s="33" t="n">
        <v>10</v>
      </c>
      <c r="C13" s="29" t="s">
        <v>72</v>
      </c>
      <c r="D13" s="10" t="s">
        <v>78</v>
      </c>
    </row>
    <row r="14" customFormat="false" ht="23.85" hidden="false" customHeight="false" outlineLevel="0" collapsed="false">
      <c r="A14" s="5" t="s">
        <v>79</v>
      </c>
      <c r="B14" s="34" t="n">
        <f aca="false">$B$10*52-($B$12+$B$13)*$B$10/$B$11</f>
        <v>1974</v>
      </c>
      <c r="C14" s="29" t="s">
        <v>69</v>
      </c>
      <c r="D14" s="10" t="s">
        <v>80</v>
      </c>
    </row>
    <row r="15" customFormat="false" ht="15" hidden="false" customHeight="false" outlineLevel="0" collapsed="false">
      <c r="A15" s="5" t="s">
        <v>81</v>
      </c>
      <c r="B15" s="33" t="n">
        <v>18</v>
      </c>
      <c r="C15" s="29" t="s">
        <v>82</v>
      </c>
      <c r="D15" s="10" t="s">
        <v>83</v>
      </c>
    </row>
    <row r="16" customFormat="false" ht="15" hidden="false" customHeight="false" outlineLevel="0" collapsed="false">
      <c r="A16" s="5" t="s">
        <v>84</v>
      </c>
      <c r="B16" s="33" t="n">
        <v>9</v>
      </c>
      <c r="C16" s="29" t="s">
        <v>85</v>
      </c>
      <c r="D16" s="10" t="s">
        <v>86</v>
      </c>
    </row>
    <row r="17" customFormat="false" ht="15" hidden="false" customHeight="false" outlineLevel="0" collapsed="false">
      <c r="A17" s="5" t="s">
        <v>87</v>
      </c>
      <c r="B17" s="34" t="n">
        <f aca="false">$B$15*12/52</f>
        <v>4.15384615384615</v>
      </c>
      <c r="C17" s="29" t="s">
        <v>88</v>
      </c>
      <c r="D17" s="10" t="s">
        <v>89</v>
      </c>
    </row>
    <row r="18" customFormat="false" ht="15" hidden="false" customHeight="false" outlineLevel="0" collapsed="false">
      <c r="A18" s="26" t="s">
        <v>90</v>
      </c>
      <c r="B18" s="27"/>
      <c r="C18" s="27"/>
      <c r="D18" s="27"/>
    </row>
    <row r="19" customFormat="false" ht="23.85" hidden="false" customHeight="false" outlineLevel="0" collapsed="false">
      <c r="A19" s="5" t="s">
        <v>91</v>
      </c>
      <c r="B19" s="35" t="n">
        <v>0.035</v>
      </c>
      <c r="C19" s="29" t="s">
        <v>92</v>
      </c>
      <c r="D19" s="10" t="s">
        <v>93</v>
      </c>
    </row>
    <row r="20" customFormat="false" ht="15" hidden="false" customHeight="false" outlineLevel="0" collapsed="false">
      <c r="A20" s="5" t="s">
        <v>94</v>
      </c>
      <c r="B20" s="35" t="n">
        <v>0.024</v>
      </c>
      <c r="C20" s="29" t="s">
        <v>92</v>
      </c>
      <c r="D20" s="10" t="s">
        <v>95</v>
      </c>
    </row>
    <row r="21" customFormat="false" ht="15" hidden="false" customHeight="false" outlineLevel="0" collapsed="false">
      <c r="A21" s="5" t="s">
        <v>96</v>
      </c>
      <c r="B21" s="36" t="n">
        <v>0.0093</v>
      </c>
      <c r="C21" s="29" t="s">
        <v>92</v>
      </c>
      <c r="D21" s="10" t="s">
        <v>97</v>
      </c>
    </row>
    <row r="22" customFormat="false" ht="15" hidden="false" customHeight="false" outlineLevel="0" collapsed="false">
      <c r="A22" s="5" t="s">
        <v>98</v>
      </c>
      <c r="B22" s="35" t="n">
        <v>0.25</v>
      </c>
      <c r="C22" s="29" t="s">
        <v>99</v>
      </c>
      <c r="D22" s="10" t="s">
        <v>100</v>
      </c>
    </row>
    <row r="23" customFormat="false" ht="15" hidden="false" customHeight="false" outlineLevel="0" collapsed="false">
      <c r="A23" s="5" t="s">
        <v>101</v>
      </c>
      <c r="B23" s="37" t="n">
        <f aca="false">4.75*$B$8/12</f>
        <v>219114.729166667</v>
      </c>
      <c r="C23" s="29" t="s">
        <v>60</v>
      </c>
      <c r="D23" s="10" t="s">
        <v>102</v>
      </c>
    </row>
    <row r="24" customFormat="false" ht="15" hidden="false" customHeight="false" outlineLevel="0" collapsed="false">
      <c r="A24" s="5" t="s">
        <v>103</v>
      </c>
      <c r="B24" s="37" t="n">
        <f aca="false">90*$B$6</f>
        <v>3695884.2</v>
      </c>
      <c r="C24" s="29" t="s">
        <v>60</v>
      </c>
      <c r="D24" s="10" t="s">
        <v>104</v>
      </c>
    </row>
    <row r="25" customFormat="false" ht="15" hidden="false" customHeight="false" outlineLevel="0" collapsed="false">
      <c r="A25" s="26" t="s">
        <v>105</v>
      </c>
      <c r="B25" s="27"/>
      <c r="C25" s="27"/>
      <c r="D25" s="27"/>
    </row>
    <row r="26" customFormat="false" ht="15" hidden="false" customHeight="false" outlineLevel="0" collapsed="false">
      <c r="A26" s="5" t="s">
        <v>106</v>
      </c>
      <c r="B26" s="38" t="n">
        <v>900000</v>
      </c>
      <c r="C26" s="29" t="s">
        <v>107</v>
      </c>
      <c r="D26" s="10" t="s">
        <v>108</v>
      </c>
    </row>
    <row r="27" customFormat="false" ht="15" hidden="false" customHeight="false" outlineLevel="0" collapsed="false">
      <c r="A27" s="5" t="s">
        <v>109</v>
      </c>
      <c r="B27" s="33" t="n">
        <v>36</v>
      </c>
      <c r="C27" s="29" t="s">
        <v>88</v>
      </c>
      <c r="D27" s="10" t="s">
        <v>110</v>
      </c>
    </row>
    <row r="28" customFormat="false" ht="15" hidden="false" customHeight="false" outlineLevel="0" collapsed="false">
      <c r="A28" s="5" t="s">
        <v>111</v>
      </c>
      <c r="B28" s="31" t="n">
        <v>25000</v>
      </c>
      <c r="C28" s="29" t="s">
        <v>112</v>
      </c>
      <c r="D28" s="10" t="s">
        <v>113</v>
      </c>
    </row>
    <row r="29" customFormat="false" ht="15" hidden="false" customHeight="false" outlineLevel="0" collapsed="false">
      <c r="A29" s="5" t="s">
        <v>114</v>
      </c>
      <c r="B29" s="31" t="n">
        <v>30000</v>
      </c>
      <c r="C29" s="29" t="s">
        <v>60</v>
      </c>
      <c r="D29" s="10" t="s">
        <v>115</v>
      </c>
    </row>
    <row r="30" customFormat="false" ht="15" hidden="false" customHeight="false" outlineLevel="0" collapsed="false">
      <c r="A30" s="26" t="s">
        <v>116</v>
      </c>
      <c r="B30" s="27"/>
      <c r="C30" s="27"/>
      <c r="D30" s="27"/>
    </row>
    <row r="31" customFormat="false" ht="15" hidden="false" customHeight="false" outlineLevel="0" collapsed="false">
      <c r="A31" s="5" t="s">
        <v>15</v>
      </c>
      <c r="B31" s="39" t="n">
        <v>0.05</v>
      </c>
      <c r="C31" s="29" t="s">
        <v>117</v>
      </c>
      <c r="D31" s="10" t="s">
        <v>118</v>
      </c>
    </row>
    <row r="32" customFormat="false" ht="15" hidden="false" customHeight="false" outlineLevel="0" collapsed="false">
      <c r="A32" s="5" t="s">
        <v>17</v>
      </c>
      <c r="B32" s="39" t="n">
        <v>0.1</v>
      </c>
      <c r="C32" s="29" t="s">
        <v>117</v>
      </c>
      <c r="D32" s="10" t="s">
        <v>119</v>
      </c>
    </row>
    <row r="33" customFormat="false" ht="15" hidden="false" customHeight="false" outlineLevel="0" collapsed="false">
      <c r="A33" s="26" t="s">
        <v>120</v>
      </c>
      <c r="B33" s="27"/>
      <c r="C33" s="27"/>
      <c r="D33" s="27"/>
    </row>
    <row r="34" customFormat="false" ht="15" hidden="false" customHeight="false" outlineLevel="0" collapsed="false">
      <c r="A34" s="5" t="s">
        <v>48</v>
      </c>
      <c r="B34" s="33" t="n">
        <v>540</v>
      </c>
      <c r="C34" s="29" t="s">
        <v>69</v>
      </c>
      <c r="D34" s="10" t="s">
        <v>121</v>
      </c>
    </row>
    <row r="35" customFormat="false" ht="15" hidden="false" customHeight="false" outlineLevel="0" collapsed="false">
      <c r="A35" s="5" t="s">
        <v>122</v>
      </c>
      <c r="B35" s="31" t="n">
        <v>8000</v>
      </c>
      <c r="C35" s="29" t="s">
        <v>123</v>
      </c>
      <c r="D35" s="10" t="s">
        <v>124</v>
      </c>
    </row>
    <row r="36" customFormat="false" ht="15" hidden="false" customHeight="false" outlineLevel="0" collapsed="false">
      <c r="A36" s="5" t="s">
        <v>125</v>
      </c>
      <c r="B36" s="31" t="n">
        <v>265000</v>
      </c>
      <c r="C36" s="29" t="s">
        <v>60</v>
      </c>
      <c r="D36" s="10" t="s">
        <v>126</v>
      </c>
    </row>
    <row r="37" customFormat="false" ht="15" hidden="false" customHeight="false" outlineLevel="0" collapsed="false">
      <c r="A37" s="5" t="s">
        <v>127</v>
      </c>
      <c r="B37" s="33" t="n">
        <v>184</v>
      </c>
      <c r="C37" s="29" t="s">
        <v>128</v>
      </c>
      <c r="D37" s="10" t="s">
        <v>129</v>
      </c>
    </row>
    <row r="38" customFormat="false" ht="15" hidden="false" customHeight="false" outlineLevel="0" collapsed="false">
      <c r="A38" s="5" t="s">
        <v>130</v>
      </c>
      <c r="B38" s="33" t="n">
        <v>27</v>
      </c>
      <c r="C38" s="29" t="s">
        <v>131</v>
      </c>
      <c r="D38" s="10" t="s">
        <v>132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16"/>
    <col collapsed="false" customWidth="true" hidden="false" outlineLevel="0" max="4" min="4" style="0" width="15"/>
    <col collapsed="false" customWidth="true" hidden="false" outlineLevel="0" max="5" min="5" style="0" width="16"/>
    <col collapsed="false" customWidth="true" hidden="false" outlineLevel="0" max="8" min="6" style="0" width="14"/>
    <col collapsed="false" customWidth="true" hidden="false" outlineLevel="0" max="9" min="9" style="0" width="17"/>
    <col collapsed="false" customWidth="true" hidden="false" outlineLevel="0" max="10" min="10" style="0" width="15"/>
    <col collapsed="false" customWidth="true" hidden="false" outlineLevel="0" max="11" min="11" style="0" width="16"/>
    <col collapsed="false" customWidth="true" hidden="false" outlineLevel="0" max="12" min="12" style="0" width="13"/>
    <col collapsed="false" customWidth="true" hidden="false" outlineLevel="0" max="13" min="13" style="0" width="17"/>
  </cols>
  <sheetData>
    <row r="1" customFormat="false" ht="19.7" hidden="false" customHeight="false" outlineLevel="0" collapsed="false">
      <c r="A1" s="1" t="s">
        <v>133</v>
      </c>
    </row>
    <row r="2" customFormat="false" ht="15" hidden="false" customHeight="false" outlineLevel="0" collapsed="false">
      <c r="A2" s="2" t="s">
        <v>134</v>
      </c>
    </row>
    <row r="5" customFormat="false" ht="42" hidden="false" customHeight="true" outlineLevel="0" collapsed="false">
      <c r="A5" s="4" t="s">
        <v>135</v>
      </c>
      <c r="B5" s="4" t="s">
        <v>136</v>
      </c>
      <c r="C5" s="4" t="s">
        <v>137</v>
      </c>
      <c r="D5" s="4" t="s">
        <v>98</v>
      </c>
      <c r="E5" s="4" t="s">
        <v>138</v>
      </c>
      <c r="F5" s="4" t="s">
        <v>139</v>
      </c>
      <c r="G5" s="4" t="s">
        <v>140</v>
      </c>
      <c r="H5" s="4" t="s">
        <v>141</v>
      </c>
      <c r="I5" s="4" t="s">
        <v>142</v>
      </c>
      <c r="J5" s="4" t="s">
        <v>143</v>
      </c>
      <c r="K5" s="4" t="s">
        <v>144</v>
      </c>
      <c r="L5" s="4" t="s">
        <v>145</v>
      </c>
      <c r="M5" s="4" t="s">
        <v>146</v>
      </c>
    </row>
    <row r="6" customFormat="false" ht="15" hidden="false" customHeight="false" outlineLevel="0" collapsed="false">
      <c r="A6" s="40" t="s">
        <v>147</v>
      </c>
      <c r="B6" s="10" t="s">
        <v>148</v>
      </c>
      <c r="C6" s="41" t="n">
        <v>1400000</v>
      </c>
      <c r="D6" s="6" t="n">
        <f aca="false">MIN(C6*Supuestos!$B$22,Supuestos!$B$23)</f>
        <v>219114.729166667</v>
      </c>
      <c r="E6" s="6" t="n">
        <f aca="false">MIN(C6+D6,Supuestos!$B$24)</f>
        <v>1619114.72916667</v>
      </c>
      <c r="F6" s="6" t="n">
        <f aca="false">E6*Supuestos!$B$19</f>
        <v>56669.0155208333</v>
      </c>
      <c r="G6" s="6" t="n">
        <f aca="false">E6*Supuestos!$B$20</f>
        <v>38858.7535</v>
      </c>
      <c r="H6" s="6" t="n">
        <f aca="false">E6*Supuestos!$B$21</f>
        <v>15057.76698125</v>
      </c>
      <c r="I6" s="42" t="n">
        <f aca="false">C6+D6+F6+G6+H6</f>
        <v>1729700.26516875</v>
      </c>
      <c r="J6" s="43" t="n">
        <f aca="false">Supuestos!$B$14</f>
        <v>1974</v>
      </c>
      <c r="K6" s="42" t="n">
        <f aca="false">I6*12/J6</f>
        <v>10514.8952289894</v>
      </c>
      <c r="L6" s="25" t="n">
        <f aca="false">'Por sprint'!D14</f>
        <v>189</v>
      </c>
      <c r="M6" s="42" t="n">
        <f aca="false">K6*L6</f>
        <v>1987315.19827899</v>
      </c>
    </row>
    <row r="7" customFormat="false" ht="15" hidden="false" customHeight="false" outlineLevel="0" collapsed="false">
      <c r="A7" s="40" t="s">
        <v>149</v>
      </c>
      <c r="B7" s="10" t="s">
        <v>150</v>
      </c>
      <c r="C7" s="41" t="n">
        <v>1400000</v>
      </c>
      <c r="D7" s="6" t="n">
        <f aca="false">MIN(C7*Supuestos!$B$22,Supuestos!$B$23)</f>
        <v>219114.729166667</v>
      </c>
      <c r="E7" s="6" t="n">
        <f aca="false">MIN(C7+D7,Supuestos!$B$24)</f>
        <v>1619114.72916667</v>
      </c>
      <c r="F7" s="6" t="n">
        <f aca="false">E7*Supuestos!$B$19</f>
        <v>56669.0155208333</v>
      </c>
      <c r="G7" s="6" t="n">
        <f aca="false">E7*Supuestos!$B$20</f>
        <v>38858.7535</v>
      </c>
      <c r="H7" s="6" t="n">
        <f aca="false">E7*Supuestos!$B$21</f>
        <v>15057.76698125</v>
      </c>
      <c r="I7" s="42" t="n">
        <f aca="false">C7+D7+F7+G7+H7</f>
        <v>1729700.26516875</v>
      </c>
      <c r="J7" s="43" t="n">
        <f aca="false">Supuestos!$B$14</f>
        <v>1974</v>
      </c>
      <c r="K7" s="42" t="n">
        <f aca="false">I7*12/J7</f>
        <v>10514.8952289894</v>
      </c>
      <c r="L7" s="25" t="n">
        <f aca="false">'Por sprint'!E14</f>
        <v>180</v>
      </c>
      <c r="M7" s="42" t="n">
        <f aca="false">K7*L7</f>
        <v>1892681.14121809</v>
      </c>
    </row>
    <row r="8" customFormat="false" ht="15" hidden="false" customHeight="false" outlineLevel="0" collapsed="false">
      <c r="A8" s="40" t="s">
        <v>151</v>
      </c>
      <c r="B8" s="10" t="s">
        <v>152</v>
      </c>
      <c r="C8" s="41" t="n">
        <v>1400000</v>
      </c>
      <c r="D8" s="6" t="n">
        <f aca="false">MIN(C8*Supuestos!$B$22,Supuestos!$B$23)</f>
        <v>219114.729166667</v>
      </c>
      <c r="E8" s="6" t="n">
        <f aca="false">MIN(C8+D8,Supuestos!$B$24)</f>
        <v>1619114.72916667</v>
      </c>
      <c r="F8" s="6" t="n">
        <f aca="false">E8*Supuestos!$B$19</f>
        <v>56669.0155208333</v>
      </c>
      <c r="G8" s="6" t="n">
        <f aca="false">E8*Supuestos!$B$20</f>
        <v>38858.7535</v>
      </c>
      <c r="H8" s="6" t="n">
        <f aca="false">E8*Supuestos!$B$21</f>
        <v>15057.76698125</v>
      </c>
      <c r="I8" s="42" t="n">
        <f aca="false">C8+D8+F8+G8+H8</f>
        <v>1729700.26516875</v>
      </c>
      <c r="J8" s="43" t="n">
        <f aca="false">Supuestos!$B$14</f>
        <v>1974</v>
      </c>
      <c r="K8" s="42" t="n">
        <f aca="false">I8*12/J8</f>
        <v>10514.8952289894</v>
      </c>
      <c r="L8" s="25" t="n">
        <f aca="false">'Por sprint'!F14</f>
        <v>171</v>
      </c>
      <c r="M8" s="42" t="n">
        <f aca="false">K8*L8</f>
        <v>1798047.08415718</v>
      </c>
    </row>
    <row r="9" customFormat="false" ht="15" hidden="false" customHeight="false" outlineLevel="0" collapsed="false">
      <c r="A9" s="11" t="s">
        <v>153</v>
      </c>
      <c r="B9" s="15"/>
      <c r="C9" s="12" t="n">
        <f aca="false">SUM(C6:C8)</f>
        <v>4200000</v>
      </c>
      <c r="D9" s="12" t="n">
        <f aca="false">SUM(D6:D8)</f>
        <v>657344.1875</v>
      </c>
      <c r="E9" s="12" t="n">
        <f aca="false">SUM(E6:E8)</f>
        <v>4857344.1875</v>
      </c>
      <c r="F9" s="12" t="n">
        <f aca="false">SUM(F6:F8)</f>
        <v>170007.0465625</v>
      </c>
      <c r="G9" s="12" t="n">
        <f aca="false">SUM(G6:G8)</f>
        <v>116576.2605</v>
      </c>
      <c r="H9" s="12" t="n">
        <f aca="false">SUM(H6:H8)</f>
        <v>45173.30094375</v>
      </c>
      <c r="I9" s="12" t="n">
        <f aca="false">SUM(I6:I8)</f>
        <v>5189100.79550625</v>
      </c>
      <c r="J9" s="15"/>
      <c r="K9" s="12" t="n">
        <f aca="false">AVERAGE(K6:K8)</f>
        <v>10514.8952289894</v>
      </c>
      <c r="L9" s="44" t="n">
        <f aca="false">SUM(L6:L8)</f>
        <v>540</v>
      </c>
      <c r="M9" s="12" t="n">
        <f aca="false">SUM(M6:M8)</f>
        <v>5678043.42365426</v>
      </c>
    </row>
    <row r="11" customFormat="false" ht="30" hidden="false" customHeight="true" outlineLevel="0" collapsed="false">
      <c r="A11" s="45" t="s">
        <v>154</v>
      </c>
      <c r="B11" s="45"/>
      <c r="C11" s="45"/>
      <c r="D11" s="45"/>
      <c r="E11" s="45"/>
      <c r="F11" s="45"/>
      <c r="G11" s="45"/>
      <c r="H11" s="45"/>
      <c r="I11" s="45"/>
      <c r="J11" s="45"/>
      <c r="K11" s="45"/>
      <c r="L11" s="45"/>
      <c r="M11" s="45"/>
    </row>
    <row r="12" customFormat="false" ht="30" hidden="false" customHeight="true" outlineLevel="0" collapsed="false">
      <c r="A12" s="45" t="s">
        <v>155</v>
      </c>
      <c r="B12" s="45"/>
      <c r="C12" s="45"/>
      <c r="D12" s="45"/>
      <c r="E12" s="45"/>
      <c r="F12" s="45"/>
      <c r="G12" s="45"/>
      <c r="H12" s="45"/>
      <c r="I12" s="45"/>
      <c r="J12" s="45"/>
      <c r="K12" s="45"/>
      <c r="L12" s="45"/>
      <c r="M12" s="45"/>
    </row>
    <row r="13" customFormat="false" ht="30" hidden="false" customHeight="true" outlineLevel="0" collapsed="false">
      <c r="A13" s="45" t="s">
        <v>156</v>
      </c>
      <c r="B13" s="45"/>
      <c r="C13" s="45"/>
      <c r="D13" s="45"/>
      <c r="E13" s="45"/>
      <c r="F13" s="45"/>
      <c r="G13" s="45"/>
      <c r="H13" s="45"/>
      <c r="I13" s="45"/>
      <c r="J13" s="45"/>
      <c r="K13" s="45"/>
      <c r="L13" s="45"/>
      <c r="M13" s="45"/>
    </row>
    <row r="14" customFormat="false" ht="30" hidden="false" customHeight="true" outlineLevel="0" collapsed="false">
      <c r="A14" s="45" t="s">
        <v>157</v>
      </c>
      <c r="B14" s="45"/>
      <c r="C14" s="45"/>
      <c r="D14" s="45"/>
      <c r="E14" s="45"/>
      <c r="F14" s="45"/>
      <c r="G14" s="45"/>
      <c r="H14" s="45"/>
      <c r="I14" s="45"/>
      <c r="J14" s="45"/>
      <c r="K14" s="45"/>
      <c r="L14" s="45"/>
      <c r="M14" s="45"/>
    </row>
  </sheetData>
  <mergeCells count="4">
    <mergeCell ref="A11:M11"/>
    <mergeCell ref="A12:M12"/>
    <mergeCell ref="A13:M13"/>
    <mergeCell ref="A14:M1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34"/>
    <col collapsed="false" customWidth="true" hidden="false" outlineLevel="0" max="7" min="4" style="0" width="11"/>
    <col collapsed="false" customWidth="true" hidden="false" outlineLevel="0" max="8" min="8" style="0" width="16"/>
    <col collapsed="false" customWidth="true" hidden="false" outlineLevel="0" max="9" min="9" style="0" width="10"/>
    <col collapsed="false" customWidth="true" hidden="false" outlineLevel="0" max="15" min="10" style="0" width="16"/>
    <col collapsed="false" customWidth="true" hidden="false" outlineLevel="0" max="16" min="16" style="0" width="12"/>
  </cols>
  <sheetData>
    <row r="1" customFormat="false" ht="19.7" hidden="false" customHeight="false" outlineLevel="0" collapsed="false">
      <c r="A1" s="1" t="s">
        <v>158</v>
      </c>
    </row>
    <row r="2" customFormat="false" ht="15" hidden="false" customHeight="false" outlineLevel="0" collapsed="false">
      <c r="A2" s="2" t="s">
        <v>159</v>
      </c>
    </row>
    <row r="4" customFormat="false" ht="42" hidden="false" customHeight="true" outlineLevel="0" collapsed="false">
      <c r="A4" s="4" t="s">
        <v>160</v>
      </c>
      <c r="B4" s="4" t="s">
        <v>161</v>
      </c>
      <c r="C4" s="4" t="s">
        <v>162</v>
      </c>
      <c r="D4" s="4" t="s">
        <v>163</v>
      </c>
      <c r="E4" s="4" t="s">
        <v>164</v>
      </c>
      <c r="F4" s="4" t="s">
        <v>165</v>
      </c>
      <c r="G4" s="4" t="s">
        <v>166</v>
      </c>
      <c r="H4" s="4" t="s">
        <v>167</v>
      </c>
      <c r="I4" s="4" t="s">
        <v>168</v>
      </c>
      <c r="J4" s="4" t="s">
        <v>169</v>
      </c>
      <c r="K4" s="4" t="s">
        <v>170</v>
      </c>
      <c r="L4" s="4" t="s">
        <v>14</v>
      </c>
      <c r="M4" s="4" t="s">
        <v>171</v>
      </c>
      <c r="N4" s="4" t="s">
        <v>172</v>
      </c>
      <c r="O4" s="4" t="s">
        <v>173</v>
      </c>
      <c r="P4" s="4" t="s">
        <v>174</v>
      </c>
    </row>
    <row r="5" customFormat="false" ht="15" hidden="false" customHeight="false" outlineLevel="0" collapsed="false">
      <c r="A5" s="46" t="s">
        <v>175</v>
      </c>
      <c r="B5" s="29" t="s">
        <v>176</v>
      </c>
      <c r="C5" s="5" t="s">
        <v>177</v>
      </c>
      <c r="D5" s="33" t="n">
        <v>21</v>
      </c>
      <c r="E5" s="33" t="n">
        <v>20</v>
      </c>
      <c r="F5" s="33" t="n">
        <v>19</v>
      </c>
      <c r="G5" s="47" t="n">
        <f aca="false">SUM(D5:F5)</f>
        <v>60</v>
      </c>
      <c r="H5" s="22" t="n">
        <f aca="false">D5*RRHH!$K$6+E5*RRHH!$K$7+F5*RRHH!$K$8</f>
        <v>630893.713739362</v>
      </c>
      <c r="I5" s="48" t="n">
        <v>0</v>
      </c>
      <c r="J5" s="22" t="n">
        <f aca="false">IF(I5=1,Infraestructura!$I$16/SUM($I$5:$I$13),0)</f>
        <v>0</v>
      </c>
      <c r="K5" s="6" t="n">
        <f aca="false">'Otros costos'!$G$9/Supuestos!$B$16</f>
        <v>72564.1025641026</v>
      </c>
      <c r="L5" s="22" t="n">
        <f aca="false">H5+J5+K5</f>
        <v>703457.816303464</v>
      </c>
      <c r="M5" s="22" t="n">
        <f aca="false">L5*(Supuestos!$B$31+Supuestos!$B$32)</f>
        <v>105518.67244552</v>
      </c>
      <c r="N5" s="42" t="n">
        <f aca="false">L5+M5</f>
        <v>808976.488748984</v>
      </c>
      <c r="O5" s="22" t="n">
        <f aca="false">SUM($N$5:N5)</f>
        <v>808976.488748984</v>
      </c>
      <c r="P5" s="7" t="n">
        <f aca="false">O5/$N$14</f>
        <v>0.100601828306159</v>
      </c>
    </row>
    <row r="6" customFormat="false" ht="15" hidden="false" customHeight="false" outlineLevel="0" collapsed="false">
      <c r="A6" s="46" t="s">
        <v>178</v>
      </c>
      <c r="B6" s="29" t="s">
        <v>179</v>
      </c>
      <c r="C6" s="5" t="s">
        <v>180</v>
      </c>
      <c r="D6" s="33" t="n">
        <v>21</v>
      </c>
      <c r="E6" s="33" t="n">
        <v>20</v>
      </c>
      <c r="F6" s="33" t="n">
        <v>19</v>
      </c>
      <c r="G6" s="47" t="n">
        <f aca="false">SUM(D6:F6)</f>
        <v>60</v>
      </c>
      <c r="H6" s="22" t="n">
        <f aca="false">D6*RRHH!$K$6+E6*RRHH!$K$7+F6*RRHH!$K$8</f>
        <v>630893.713739362</v>
      </c>
      <c r="I6" s="48" t="n">
        <v>0</v>
      </c>
      <c r="J6" s="22" t="n">
        <f aca="false">IF(I6=1,Infraestructura!$I$16/SUM($I$5:$I$13),0)</f>
        <v>0</v>
      </c>
      <c r="K6" s="6" t="n">
        <f aca="false">'Otros costos'!$G$9/Supuestos!$B$16</f>
        <v>72564.1025641026</v>
      </c>
      <c r="L6" s="22" t="n">
        <f aca="false">H6+J6+K6</f>
        <v>703457.816303464</v>
      </c>
      <c r="M6" s="22" t="n">
        <f aca="false">L6*(Supuestos!$B$31+Supuestos!$B$32)</f>
        <v>105518.67244552</v>
      </c>
      <c r="N6" s="42" t="n">
        <f aca="false">L6+M6</f>
        <v>808976.488748984</v>
      </c>
      <c r="O6" s="22" t="n">
        <f aca="false">SUM($N$5:N6)</f>
        <v>1617952.97749797</v>
      </c>
      <c r="P6" s="7" t="n">
        <f aca="false">O6/$N$14</f>
        <v>0.201203656612318</v>
      </c>
    </row>
    <row r="7" customFormat="false" ht="15" hidden="false" customHeight="false" outlineLevel="0" collapsed="false">
      <c r="A7" s="46" t="s">
        <v>181</v>
      </c>
      <c r="B7" s="29" t="s">
        <v>182</v>
      </c>
      <c r="C7" s="5" t="s">
        <v>183</v>
      </c>
      <c r="D7" s="33" t="n">
        <v>21</v>
      </c>
      <c r="E7" s="33" t="n">
        <v>20</v>
      </c>
      <c r="F7" s="33" t="n">
        <v>19</v>
      </c>
      <c r="G7" s="47" t="n">
        <f aca="false">SUM(D7:F7)</f>
        <v>60</v>
      </c>
      <c r="H7" s="22" t="n">
        <f aca="false">D7*RRHH!$K$6+E7*RRHH!$K$7+F7*RRHH!$K$8</f>
        <v>630893.713739362</v>
      </c>
      <c r="I7" s="48" t="n">
        <v>1</v>
      </c>
      <c r="J7" s="22" t="n">
        <f aca="false">IF(I7=1,Infraestructura!$I$16/SUM($I$5:$I$13),0)</f>
        <v>94482.1428571429</v>
      </c>
      <c r="K7" s="6" t="n">
        <f aca="false">'Otros costos'!$G$9/Supuestos!$B$16</f>
        <v>72564.1025641026</v>
      </c>
      <c r="L7" s="22" t="n">
        <f aca="false">H7+J7+K7</f>
        <v>797939.959160607</v>
      </c>
      <c r="M7" s="22" t="n">
        <f aca="false">L7*(Supuestos!$B$31+Supuestos!$B$32)</f>
        <v>119690.993874091</v>
      </c>
      <c r="N7" s="42" t="n">
        <f aca="false">L7+M7</f>
        <v>917630.953034698</v>
      </c>
      <c r="O7" s="22" t="n">
        <f aca="false">SUM($N$5:N7)</f>
        <v>2535583.93053267</v>
      </c>
      <c r="P7" s="7" t="n">
        <f aca="false">O7/$N$14</f>
        <v>0.315317419953415</v>
      </c>
    </row>
    <row r="8" customFormat="false" ht="15" hidden="false" customHeight="false" outlineLevel="0" collapsed="false">
      <c r="A8" s="46" t="s">
        <v>184</v>
      </c>
      <c r="B8" s="29" t="s">
        <v>185</v>
      </c>
      <c r="C8" s="5" t="s">
        <v>186</v>
      </c>
      <c r="D8" s="33" t="n">
        <v>21</v>
      </c>
      <c r="E8" s="33" t="n">
        <v>20</v>
      </c>
      <c r="F8" s="33" t="n">
        <v>19</v>
      </c>
      <c r="G8" s="47" t="n">
        <f aca="false">SUM(D8:F8)</f>
        <v>60</v>
      </c>
      <c r="H8" s="22" t="n">
        <f aca="false">D8*RRHH!$K$6+E8*RRHH!$K$7+F8*RRHH!$K$8</f>
        <v>630893.713739362</v>
      </c>
      <c r="I8" s="48" t="n">
        <v>1</v>
      </c>
      <c r="J8" s="22" t="n">
        <f aca="false">IF(I8=1,Infraestructura!$I$16/SUM($I$5:$I$13),0)</f>
        <v>94482.1428571429</v>
      </c>
      <c r="K8" s="6" t="n">
        <f aca="false">'Otros costos'!$G$9/Supuestos!$B$16</f>
        <v>72564.1025641026</v>
      </c>
      <c r="L8" s="22" t="n">
        <f aca="false">H8+J8+K8</f>
        <v>797939.959160607</v>
      </c>
      <c r="M8" s="22" t="n">
        <f aca="false">L8*(Supuestos!$B$31+Supuestos!$B$32)</f>
        <v>119690.993874091</v>
      </c>
      <c r="N8" s="42" t="n">
        <f aca="false">L8+M8</f>
        <v>917630.953034698</v>
      </c>
      <c r="O8" s="22" t="n">
        <f aca="false">SUM($N$5:N8)</f>
        <v>3453214.88356736</v>
      </c>
      <c r="P8" s="7" t="n">
        <f aca="false">O8/$N$14</f>
        <v>0.429431183294513</v>
      </c>
    </row>
    <row r="9" customFormat="false" ht="15" hidden="false" customHeight="false" outlineLevel="0" collapsed="false">
      <c r="A9" s="46" t="s">
        <v>187</v>
      </c>
      <c r="B9" s="29" t="s">
        <v>188</v>
      </c>
      <c r="C9" s="5" t="s">
        <v>189</v>
      </c>
      <c r="D9" s="33" t="n">
        <v>21</v>
      </c>
      <c r="E9" s="33" t="n">
        <v>20</v>
      </c>
      <c r="F9" s="33" t="n">
        <v>19</v>
      </c>
      <c r="G9" s="47" t="n">
        <f aca="false">SUM(D9:F9)</f>
        <v>60</v>
      </c>
      <c r="H9" s="22" t="n">
        <f aca="false">D9*RRHH!$K$6+E9*RRHH!$K$7+F9*RRHH!$K$8</f>
        <v>630893.713739362</v>
      </c>
      <c r="I9" s="48" t="n">
        <v>1</v>
      </c>
      <c r="J9" s="22" t="n">
        <f aca="false">IF(I9=1,Infraestructura!$I$16/SUM($I$5:$I$13),0)</f>
        <v>94482.1428571429</v>
      </c>
      <c r="K9" s="6" t="n">
        <f aca="false">'Otros costos'!$G$9/Supuestos!$B$16</f>
        <v>72564.1025641026</v>
      </c>
      <c r="L9" s="22" t="n">
        <f aca="false">H9+J9+K9</f>
        <v>797939.959160607</v>
      </c>
      <c r="M9" s="22" t="n">
        <f aca="false">L9*(Supuestos!$B$31+Supuestos!$B$32)</f>
        <v>119690.993874091</v>
      </c>
      <c r="N9" s="42" t="n">
        <f aca="false">L9+M9</f>
        <v>917630.953034698</v>
      </c>
      <c r="O9" s="22" t="n">
        <f aca="false">SUM($N$5:N9)</f>
        <v>4370845.83660206</v>
      </c>
      <c r="P9" s="7" t="n">
        <f aca="false">O9/$N$14</f>
        <v>0.54354494663561</v>
      </c>
    </row>
    <row r="10" customFormat="false" ht="15" hidden="false" customHeight="false" outlineLevel="0" collapsed="false">
      <c r="A10" s="46" t="s">
        <v>190</v>
      </c>
      <c r="B10" s="29" t="s">
        <v>191</v>
      </c>
      <c r="C10" s="5" t="s">
        <v>192</v>
      </c>
      <c r="D10" s="33" t="n">
        <v>21</v>
      </c>
      <c r="E10" s="33" t="n">
        <v>20</v>
      </c>
      <c r="F10" s="33" t="n">
        <v>19</v>
      </c>
      <c r="G10" s="47" t="n">
        <f aca="false">SUM(D10:F10)</f>
        <v>60</v>
      </c>
      <c r="H10" s="22" t="n">
        <f aca="false">D10*RRHH!$K$6+E10*RRHH!$K$7+F10*RRHH!$K$8</f>
        <v>630893.713739362</v>
      </c>
      <c r="I10" s="48" t="n">
        <v>1</v>
      </c>
      <c r="J10" s="22" t="n">
        <f aca="false">IF(I10=1,Infraestructura!$I$16/SUM($I$5:$I$13),0)</f>
        <v>94482.1428571429</v>
      </c>
      <c r="K10" s="6" t="n">
        <f aca="false">'Otros costos'!$G$9/Supuestos!$B$16</f>
        <v>72564.1025641026</v>
      </c>
      <c r="L10" s="22" t="n">
        <f aca="false">H10+J10+K10</f>
        <v>797939.959160607</v>
      </c>
      <c r="M10" s="22" t="n">
        <f aca="false">L10*(Supuestos!$B$31+Supuestos!$B$32)</f>
        <v>119690.993874091</v>
      </c>
      <c r="N10" s="42" t="n">
        <f aca="false">L10+M10</f>
        <v>917630.953034698</v>
      </c>
      <c r="O10" s="22" t="n">
        <f aca="false">SUM($N$5:N10)</f>
        <v>5288476.78963676</v>
      </c>
      <c r="P10" s="7" t="n">
        <f aca="false">O10/$N$14</f>
        <v>0.657658709976708</v>
      </c>
    </row>
    <row r="11" customFormat="false" ht="15" hidden="false" customHeight="false" outlineLevel="0" collapsed="false">
      <c r="A11" s="46" t="s">
        <v>193</v>
      </c>
      <c r="B11" s="29" t="s">
        <v>194</v>
      </c>
      <c r="C11" s="5" t="s">
        <v>195</v>
      </c>
      <c r="D11" s="33" t="n">
        <v>21</v>
      </c>
      <c r="E11" s="33" t="n">
        <v>20</v>
      </c>
      <c r="F11" s="33" t="n">
        <v>19</v>
      </c>
      <c r="G11" s="47" t="n">
        <f aca="false">SUM(D11:F11)</f>
        <v>60</v>
      </c>
      <c r="H11" s="22" t="n">
        <f aca="false">D11*RRHH!$K$6+E11*RRHH!$K$7+F11*RRHH!$K$8</f>
        <v>630893.713739362</v>
      </c>
      <c r="I11" s="48" t="n">
        <v>1</v>
      </c>
      <c r="J11" s="22" t="n">
        <f aca="false">IF(I11=1,Infraestructura!$I$16/SUM($I$5:$I$13),0)</f>
        <v>94482.1428571429</v>
      </c>
      <c r="K11" s="6" t="n">
        <f aca="false">'Otros costos'!$G$9/Supuestos!$B$16</f>
        <v>72564.1025641026</v>
      </c>
      <c r="L11" s="22" t="n">
        <f aca="false">H11+J11+K11</f>
        <v>797939.959160607</v>
      </c>
      <c r="M11" s="22" t="n">
        <f aca="false">L11*(Supuestos!$B$31+Supuestos!$B$32)</f>
        <v>119690.993874091</v>
      </c>
      <c r="N11" s="42" t="n">
        <f aca="false">L11+M11</f>
        <v>917630.953034698</v>
      </c>
      <c r="O11" s="22" t="n">
        <f aca="false">SUM($N$5:N11)</f>
        <v>6206107.74267146</v>
      </c>
      <c r="P11" s="7" t="n">
        <f aca="false">O11/$N$14</f>
        <v>0.771772473317805</v>
      </c>
    </row>
    <row r="12" customFormat="false" ht="15" hidden="false" customHeight="false" outlineLevel="0" collapsed="false">
      <c r="A12" s="46" t="s">
        <v>196</v>
      </c>
      <c r="B12" s="29" t="s">
        <v>197</v>
      </c>
      <c r="C12" s="5" t="s">
        <v>198</v>
      </c>
      <c r="D12" s="33" t="n">
        <v>21</v>
      </c>
      <c r="E12" s="33" t="n">
        <v>20</v>
      </c>
      <c r="F12" s="33" t="n">
        <v>19</v>
      </c>
      <c r="G12" s="47" t="n">
        <f aca="false">SUM(D12:F12)</f>
        <v>60</v>
      </c>
      <c r="H12" s="22" t="n">
        <f aca="false">D12*RRHH!$K$6+E12*RRHH!$K$7+F12*RRHH!$K$8</f>
        <v>630893.713739362</v>
      </c>
      <c r="I12" s="48" t="n">
        <v>1</v>
      </c>
      <c r="J12" s="22" t="n">
        <f aca="false">IF(I12=1,Infraestructura!$I$16/SUM($I$5:$I$13),0)</f>
        <v>94482.1428571429</v>
      </c>
      <c r="K12" s="6" t="n">
        <f aca="false">'Otros costos'!$G$9/Supuestos!$B$16</f>
        <v>72564.1025641026</v>
      </c>
      <c r="L12" s="22" t="n">
        <f aca="false">H12+J12+K12</f>
        <v>797939.959160607</v>
      </c>
      <c r="M12" s="22" t="n">
        <f aca="false">L12*(Supuestos!$B$31+Supuestos!$B$32)</f>
        <v>119690.993874091</v>
      </c>
      <c r="N12" s="42" t="n">
        <f aca="false">L12+M12</f>
        <v>917630.953034698</v>
      </c>
      <c r="O12" s="22" t="n">
        <f aca="false">SUM($N$5:N12)</f>
        <v>7123738.69570616</v>
      </c>
      <c r="P12" s="7" t="n">
        <f aca="false">O12/$N$14</f>
        <v>0.885886236658903</v>
      </c>
    </row>
    <row r="13" customFormat="false" ht="15" hidden="false" customHeight="false" outlineLevel="0" collapsed="false">
      <c r="A13" s="46" t="s">
        <v>199</v>
      </c>
      <c r="B13" s="29" t="s">
        <v>200</v>
      </c>
      <c r="C13" s="5" t="s">
        <v>201</v>
      </c>
      <c r="D13" s="33" t="n">
        <v>21</v>
      </c>
      <c r="E13" s="33" t="n">
        <v>20</v>
      </c>
      <c r="F13" s="33" t="n">
        <v>19</v>
      </c>
      <c r="G13" s="47" t="n">
        <f aca="false">SUM(D13:F13)</f>
        <v>60</v>
      </c>
      <c r="H13" s="22" t="n">
        <f aca="false">D13*RRHH!$K$6+E13*RRHH!$K$7+F13*RRHH!$K$8</f>
        <v>630893.713739362</v>
      </c>
      <c r="I13" s="48" t="n">
        <v>1</v>
      </c>
      <c r="J13" s="22" t="n">
        <f aca="false">IF(I13=1,Infraestructura!$I$16/SUM($I$5:$I$13),0)</f>
        <v>94482.1428571429</v>
      </c>
      <c r="K13" s="6" t="n">
        <f aca="false">'Otros costos'!$G$9/Supuestos!$B$16</f>
        <v>72564.1025641026</v>
      </c>
      <c r="L13" s="22" t="n">
        <f aca="false">H13+J13+K13</f>
        <v>797939.959160607</v>
      </c>
      <c r="M13" s="22" t="n">
        <f aca="false">L13*(Supuestos!$B$31+Supuestos!$B$32)</f>
        <v>119690.993874091</v>
      </c>
      <c r="N13" s="42" t="n">
        <f aca="false">L13+M13</f>
        <v>917630.953034698</v>
      </c>
      <c r="O13" s="22" t="n">
        <f aca="false">SUM($N$5:N13)</f>
        <v>8041369.64874086</v>
      </c>
      <c r="P13" s="7" t="n">
        <f aca="false">O13/$N$14</f>
        <v>1</v>
      </c>
    </row>
    <row r="14" customFormat="false" ht="15" hidden="false" customHeight="false" outlineLevel="0" collapsed="false">
      <c r="A14" s="11" t="s">
        <v>35</v>
      </c>
      <c r="B14" s="15"/>
      <c r="C14" s="15"/>
      <c r="D14" s="44" t="n">
        <f aca="false">SUM(D5:D13)</f>
        <v>189</v>
      </c>
      <c r="E14" s="44" t="n">
        <f aca="false">SUM(E5:E13)</f>
        <v>180</v>
      </c>
      <c r="F14" s="44" t="n">
        <f aca="false">SUM(F5:F13)</f>
        <v>171</v>
      </c>
      <c r="G14" s="44" t="n">
        <f aca="false">SUM(G5:G13)</f>
        <v>540</v>
      </c>
      <c r="H14" s="12" t="n">
        <f aca="false">SUM(H5:H13)</f>
        <v>5678043.42365426</v>
      </c>
      <c r="I14" s="49" t="n">
        <f aca="false">SUM(I5:I13)</f>
        <v>7</v>
      </c>
      <c r="J14" s="12" t="n">
        <f aca="false">SUM(J5:J13)</f>
        <v>661375</v>
      </c>
      <c r="K14" s="12" t="n">
        <f aca="false">SUM(K5:K13)</f>
        <v>653076.923076923</v>
      </c>
      <c r="L14" s="12" t="n">
        <f aca="false">SUM(L5:L13)</f>
        <v>6992495.34673118</v>
      </c>
      <c r="M14" s="12" t="n">
        <f aca="false">SUM(M5:M13)</f>
        <v>1048874.30200968</v>
      </c>
      <c r="N14" s="12" t="n">
        <f aca="false">SUM(N5:N13)</f>
        <v>8041369.64874086</v>
      </c>
      <c r="O14" s="15"/>
      <c r="P14" s="15"/>
    </row>
    <row r="16" customFormat="false" ht="15" hidden="false" customHeight="false" outlineLevel="0" collapsed="false">
      <c r="A16" s="2" t="s">
        <v>202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0"/>
    <col collapsed="false" customWidth="true" hidden="false" outlineLevel="0" max="3" min="3" style="0" width="14"/>
    <col collapsed="false" customWidth="true" hidden="false" outlineLevel="0" max="4" min="4" style="0" width="13"/>
    <col collapsed="false" customWidth="true" hidden="false" outlineLevel="0" max="5" min="5" style="0" width="10"/>
    <col collapsed="false" customWidth="true" hidden="false" outlineLevel="0" max="6" min="6" style="0" width="9"/>
    <col collapsed="false" customWidth="true" hidden="false" outlineLevel="0" max="7" min="7" style="0" width="10"/>
    <col collapsed="false" customWidth="true" hidden="false" outlineLevel="0" max="8" min="8" style="0" width="14"/>
    <col collapsed="false" customWidth="true" hidden="false" outlineLevel="0" max="9" min="9" style="0" width="16"/>
    <col collapsed="false" customWidth="true" hidden="false" outlineLevel="0" max="10" min="10" style="0" width="70"/>
  </cols>
  <sheetData>
    <row r="1" customFormat="false" ht="19.7" hidden="false" customHeight="false" outlineLevel="0" collapsed="false">
      <c r="A1" s="1" t="s">
        <v>10</v>
      </c>
    </row>
    <row r="2" customFormat="false" ht="15" hidden="false" customHeight="false" outlineLevel="0" collapsed="false">
      <c r="A2" s="2" t="s">
        <v>203</v>
      </c>
    </row>
    <row r="5" customFormat="false" ht="42" hidden="false" customHeight="true" outlineLevel="0" collapsed="false">
      <c r="A5" s="4" t="s">
        <v>204</v>
      </c>
      <c r="B5" s="4" t="s">
        <v>205</v>
      </c>
      <c r="C5" s="4" t="s">
        <v>206</v>
      </c>
      <c r="D5" s="4" t="s">
        <v>207</v>
      </c>
      <c r="E5" s="4" t="s">
        <v>208</v>
      </c>
      <c r="F5" s="4" t="s">
        <v>209</v>
      </c>
      <c r="G5" s="4" t="s">
        <v>210</v>
      </c>
      <c r="H5" s="4" t="s">
        <v>211</v>
      </c>
      <c r="I5" s="4" t="s">
        <v>212</v>
      </c>
      <c r="J5" s="4" t="s">
        <v>213</v>
      </c>
    </row>
    <row r="6" customFormat="false" ht="30" hidden="false" customHeight="true" outlineLevel="0" collapsed="false">
      <c r="A6" s="10" t="s">
        <v>214</v>
      </c>
      <c r="B6" s="10" t="s">
        <v>215</v>
      </c>
      <c r="C6" s="5" t="s">
        <v>216</v>
      </c>
      <c r="D6" s="50" t="n">
        <v>20</v>
      </c>
      <c r="E6" s="33" t="n">
        <v>3</v>
      </c>
      <c r="F6" s="33" t="n">
        <v>4</v>
      </c>
      <c r="G6" s="48" t="n">
        <v>1</v>
      </c>
      <c r="H6" s="21" t="n">
        <f aca="false">D6*E6*F6*G6</f>
        <v>240</v>
      </c>
      <c r="I6" s="6" t="n">
        <f aca="false">H6*Supuestos!$B$7</f>
        <v>222000</v>
      </c>
      <c r="J6" s="10" t="s">
        <v>217</v>
      </c>
    </row>
    <row r="7" customFormat="false" ht="30" hidden="false" customHeight="true" outlineLevel="0" collapsed="false">
      <c r="A7" s="10" t="s">
        <v>218</v>
      </c>
      <c r="B7" s="10" t="s">
        <v>219</v>
      </c>
      <c r="C7" s="5" t="s">
        <v>216</v>
      </c>
      <c r="D7" s="50" t="n">
        <v>5</v>
      </c>
      <c r="E7" s="33" t="n">
        <v>1</v>
      </c>
      <c r="F7" s="33" t="n">
        <v>4</v>
      </c>
      <c r="G7" s="48" t="n">
        <v>1</v>
      </c>
      <c r="H7" s="21" t="n">
        <f aca="false">D7*E7*F7*G7</f>
        <v>20</v>
      </c>
      <c r="I7" s="6" t="n">
        <f aca="false">H7*Supuestos!$B$7</f>
        <v>18500</v>
      </c>
      <c r="J7" s="10" t="s">
        <v>220</v>
      </c>
    </row>
    <row r="8" customFormat="false" ht="30" hidden="false" customHeight="true" outlineLevel="0" collapsed="false">
      <c r="A8" s="10" t="s">
        <v>221</v>
      </c>
      <c r="B8" s="10" t="s">
        <v>222</v>
      </c>
      <c r="C8" s="5" t="s">
        <v>223</v>
      </c>
      <c r="D8" s="50" t="n">
        <v>25</v>
      </c>
      <c r="E8" s="33" t="n">
        <v>1</v>
      </c>
      <c r="F8" s="33" t="n">
        <v>4</v>
      </c>
      <c r="G8" s="48" t="n">
        <v>1</v>
      </c>
      <c r="H8" s="21" t="n">
        <f aca="false">D8*E8*F8*G8</f>
        <v>100</v>
      </c>
      <c r="I8" s="6" t="n">
        <f aca="false">H8*Supuestos!$B$7</f>
        <v>92500</v>
      </c>
      <c r="J8" s="10" t="s">
        <v>224</v>
      </c>
    </row>
    <row r="9" customFormat="false" ht="30" hidden="false" customHeight="true" outlineLevel="0" collapsed="false">
      <c r="A9" s="10" t="s">
        <v>225</v>
      </c>
      <c r="B9" s="10" t="s">
        <v>226</v>
      </c>
      <c r="C9" s="5" t="s">
        <v>227</v>
      </c>
      <c r="D9" s="50" t="n">
        <v>10</v>
      </c>
      <c r="E9" s="33" t="n">
        <v>1</v>
      </c>
      <c r="F9" s="33" t="n">
        <v>4</v>
      </c>
      <c r="G9" s="48" t="n">
        <v>1</v>
      </c>
      <c r="H9" s="21" t="n">
        <f aca="false">D9*E9*F9*G9</f>
        <v>40</v>
      </c>
      <c r="I9" s="6" t="n">
        <f aca="false">H9*Supuestos!$B$7</f>
        <v>37000</v>
      </c>
      <c r="J9" s="10" t="s">
        <v>228</v>
      </c>
    </row>
    <row r="10" customFormat="false" ht="30" hidden="false" customHeight="true" outlineLevel="0" collapsed="false">
      <c r="A10" s="10" t="s">
        <v>229</v>
      </c>
      <c r="B10" s="10" t="s">
        <v>230</v>
      </c>
      <c r="C10" s="5" t="s">
        <v>227</v>
      </c>
      <c r="D10" s="50" t="n">
        <v>15</v>
      </c>
      <c r="E10" s="33" t="n">
        <v>1</v>
      </c>
      <c r="F10" s="33" t="n">
        <v>4</v>
      </c>
      <c r="G10" s="48" t="n">
        <v>1</v>
      </c>
      <c r="H10" s="21" t="n">
        <f aca="false">D10*E10*F10*G10</f>
        <v>60</v>
      </c>
      <c r="I10" s="6" t="n">
        <f aca="false">H10*Supuestos!$B$7</f>
        <v>55500</v>
      </c>
      <c r="J10" s="10" t="s">
        <v>231</v>
      </c>
    </row>
    <row r="11" customFormat="false" ht="30" hidden="false" customHeight="true" outlineLevel="0" collapsed="false">
      <c r="A11" s="10" t="s">
        <v>232</v>
      </c>
      <c r="B11" s="10" t="s">
        <v>233</v>
      </c>
      <c r="C11" s="5" t="s">
        <v>234</v>
      </c>
      <c r="D11" s="50" t="n">
        <v>15</v>
      </c>
      <c r="E11" s="33" t="n">
        <v>1</v>
      </c>
      <c r="F11" s="33" t="n">
        <v>1</v>
      </c>
      <c r="G11" s="48" t="n">
        <v>1</v>
      </c>
      <c r="H11" s="21" t="n">
        <f aca="false">D11*E11*F11*G11</f>
        <v>15</v>
      </c>
      <c r="I11" s="6" t="n">
        <f aca="false">H11*Supuestos!$B$7</f>
        <v>13875</v>
      </c>
      <c r="J11" s="10" t="s">
        <v>235</v>
      </c>
    </row>
    <row r="12" customFormat="false" ht="30" hidden="false" customHeight="true" outlineLevel="0" collapsed="false">
      <c r="A12" s="10" t="s">
        <v>236</v>
      </c>
      <c r="B12" s="10" t="s">
        <v>237</v>
      </c>
      <c r="C12" s="5" t="s">
        <v>238</v>
      </c>
      <c r="D12" s="50" t="n">
        <v>0</v>
      </c>
      <c r="E12" s="33" t="n">
        <v>1</v>
      </c>
      <c r="F12" s="33" t="n">
        <v>4</v>
      </c>
      <c r="G12" s="48" t="n">
        <v>1</v>
      </c>
      <c r="H12" s="21" t="n">
        <f aca="false">D12*E12*F12*G12</f>
        <v>0</v>
      </c>
      <c r="I12" s="6" t="n">
        <f aca="false">H12*Supuestos!$B$7</f>
        <v>0</v>
      </c>
      <c r="J12" s="10" t="s">
        <v>239</v>
      </c>
    </row>
    <row r="13" customFormat="false" ht="30" hidden="false" customHeight="true" outlineLevel="0" collapsed="false">
      <c r="A13" s="10" t="s">
        <v>240</v>
      </c>
      <c r="B13" s="10" t="s">
        <v>241</v>
      </c>
      <c r="C13" s="5" t="s">
        <v>242</v>
      </c>
      <c r="D13" s="50" t="n">
        <v>0</v>
      </c>
      <c r="E13" s="33" t="n">
        <v>1</v>
      </c>
      <c r="F13" s="33" t="n">
        <v>4</v>
      </c>
      <c r="G13" s="48" t="n">
        <v>1</v>
      </c>
      <c r="H13" s="21" t="n">
        <f aca="false">D13*E13*F13*G13</f>
        <v>0</v>
      </c>
      <c r="I13" s="6" t="n">
        <f aca="false">H13*Supuestos!$B$7</f>
        <v>0</v>
      </c>
      <c r="J13" s="10" t="s">
        <v>243</v>
      </c>
    </row>
    <row r="14" customFormat="false" ht="30" hidden="false" customHeight="true" outlineLevel="0" collapsed="false">
      <c r="A14" s="10" t="s">
        <v>244</v>
      </c>
      <c r="B14" s="10" t="s">
        <v>245</v>
      </c>
      <c r="C14" s="5" t="s">
        <v>246</v>
      </c>
      <c r="D14" s="50" t="n">
        <v>0</v>
      </c>
      <c r="E14" s="33" t="n">
        <v>1</v>
      </c>
      <c r="F14" s="33" t="n">
        <v>4</v>
      </c>
      <c r="G14" s="48" t="n">
        <v>1</v>
      </c>
      <c r="H14" s="21" t="n">
        <f aca="false">D14*E14*F14*G14</f>
        <v>0</v>
      </c>
      <c r="I14" s="6" t="n">
        <f aca="false">H14*Supuestos!$B$7</f>
        <v>0</v>
      </c>
      <c r="J14" s="10" t="s">
        <v>247</v>
      </c>
    </row>
    <row r="15" customFormat="false" ht="30" hidden="false" customHeight="true" outlineLevel="0" collapsed="false">
      <c r="A15" s="10" t="s">
        <v>248</v>
      </c>
      <c r="B15" s="10" t="s">
        <v>249</v>
      </c>
      <c r="C15" s="5" t="s">
        <v>246</v>
      </c>
      <c r="D15" s="50" t="n">
        <v>20</v>
      </c>
      <c r="E15" s="33" t="n">
        <v>3</v>
      </c>
      <c r="F15" s="33" t="n">
        <v>4</v>
      </c>
      <c r="G15" s="48" t="n">
        <v>1</v>
      </c>
      <c r="H15" s="21" t="n">
        <f aca="false">D15*E15*F15*G15</f>
        <v>240</v>
      </c>
      <c r="I15" s="6" t="n">
        <f aca="false">H15*Supuestos!$B$7</f>
        <v>222000</v>
      </c>
      <c r="J15" s="10" t="s">
        <v>250</v>
      </c>
    </row>
    <row r="16" customFormat="false" ht="15" hidden="false" customHeight="false" outlineLevel="0" collapsed="false">
      <c r="A16" s="11" t="s">
        <v>251</v>
      </c>
      <c r="B16" s="15"/>
      <c r="C16" s="15"/>
      <c r="D16" s="15"/>
      <c r="E16" s="15"/>
      <c r="F16" s="15"/>
      <c r="G16" s="15"/>
      <c r="H16" s="51" t="n">
        <f aca="false">SUM(H6:H15)</f>
        <v>715</v>
      </c>
      <c r="I16" s="12" t="n">
        <f aca="false">SUM(I6:I15)</f>
        <v>661375</v>
      </c>
      <c r="J16" s="15"/>
    </row>
    <row r="18" customFormat="false" ht="15" hidden="false" customHeight="false" outlineLevel="0" collapsed="false">
      <c r="A18" s="2" t="s">
        <v>252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0"/>
    <col collapsed="false" customWidth="true" hidden="false" outlineLevel="0" max="3" min="3" style="0" width="10"/>
    <col collapsed="false" customWidth="true" hidden="false" outlineLevel="0" max="4" min="4" style="0" width="16"/>
    <col collapsed="false" customWidth="true" hidden="false" outlineLevel="0" max="5" min="5" style="0" width="12"/>
    <col collapsed="false" customWidth="true" hidden="false" outlineLevel="0" max="6" min="6" style="0" width="10"/>
    <col collapsed="false" customWidth="true" hidden="false" outlineLevel="0" max="7" min="7" style="0" width="16"/>
    <col collapsed="false" customWidth="true" hidden="false" outlineLevel="0" max="8" min="8" style="0" width="60"/>
  </cols>
  <sheetData>
    <row r="1" customFormat="false" ht="19.7" hidden="false" customHeight="false" outlineLevel="0" collapsed="false">
      <c r="A1" s="1" t="s">
        <v>253</v>
      </c>
    </row>
    <row r="2" customFormat="false" ht="15" hidden="false" customHeight="false" outlineLevel="0" collapsed="false">
      <c r="A2" s="2" t="s">
        <v>254</v>
      </c>
    </row>
    <row r="5" customFormat="false" ht="42" hidden="false" customHeight="true" outlineLevel="0" collapsed="false">
      <c r="A5" s="4" t="s">
        <v>255</v>
      </c>
      <c r="B5" s="4" t="s">
        <v>256</v>
      </c>
      <c r="C5" s="4" t="s">
        <v>208</v>
      </c>
      <c r="D5" s="4" t="s">
        <v>257</v>
      </c>
      <c r="E5" s="4" t="s">
        <v>258</v>
      </c>
      <c r="F5" s="4" t="s">
        <v>209</v>
      </c>
      <c r="G5" s="4" t="s">
        <v>212</v>
      </c>
      <c r="H5" s="4" t="s">
        <v>213</v>
      </c>
    </row>
    <row r="6" customFormat="false" ht="30" hidden="false" customHeight="true" outlineLevel="0" collapsed="false">
      <c r="A6" s="5" t="s">
        <v>259</v>
      </c>
      <c r="B6" s="10" t="s">
        <v>260</v>
      </c>
      <c r="C6" s="33" t="n">
        <v>3</v>
      </c>
      <c r="D6" s="6" t="n">
        <f aca="false">Supuestos!$B$26</f>
        <v>900000</v>
      </c>
      <c r="E6" s="25" t="n">
        <f aca="false">Supuestos!$B$27</f>
        <v>36</v>
      </c>
      <c r="F6" s="43" t="n">
        <f aca="false">Supuestos!$B$17</f>
        <v>4.15384615384615</v>
      </c>
      <c r="G6" s="22" t="n">
        <f aca="false">C6*D6/E6*F6</f>
        <v>311538.461538462</v>
      </c>
      <c r="H6" s="10" t="s">
        <v>261</v>
      </c>
    </row>
    <row r="7" customFormat="false" ht="30" hidden="false" customHeight="true" outlineLevel="0" collapsed="false">
      <c r="A7" s="5" t="s">
        <v>262</v>
      </c>
      <c r="B7" s="10" t="s">
        <v>263</v>
      </c>
      <c r="C7" s="33" t="n">
        <v>3</v>
      </c>
      <c r="D7" s="6" t="n">
        <f aca="false">Supuestos!$B$28</f>
        <v>25000</v>
      </c>
      <c r="E7" s="29" t="s">
        <v>264</v>
      </c>
      <c r="F7" s="43" t="n">
        <f aca="false">Supuestos!$B$17</f>
        <v>4.15384615384615</v>
      </c>
      <c r="G7" s="22" t="n">
        <f aca="false">C7*D7*F7</f>
        <v>311538.461538462</v>
      </c>
      <c r="H7" s="10" t="s">
        <v>265</v>
      </c>
    </row>
    <row r="8" customFormat="false" ht="30" hidden="false" customHeight="true" outlineLevel="0" collapsed="false">
      <c r="A8" s="5" t="s">
        <v>266</v>
      </c>
      <c r="B8" s="10" t="s">
        <v>267</v>
      </c>
      <c r="C8" s="33" t="n">
        <v>1</v>
      </c>
      <c r="D8" s="6" t="n">
        <f aca="false">Supuestos!$B$29</f>
        <v>30000</v>
      </c>
      <c r="E8" s="29" t="s">
        <v>264</v>
      </c>
      <c r="F8" s="29" t="s">
        <v>264</v>
      </c>
      <c r="G8" s="22" t="n">
        <f aca="false">C8*D8</f>
        <v>30000</v>
      </c>
      <c r="H8" s="10" t="s">
        <v>268</v>
      </c>
    </row>
    <row r="9" customFormat="false" ht="15" hidden="false" customHeight="false" outlineLevel="0" collapsed="false">
      <c r="A9" s="11" t="s">
        <v>269</v>
      </c>
      <c r="B9" s="15"/>
      <c r="C9" s="15"/>
      <c r="D9" s="15"/>
      <c r="E9" s="15"/>
      <c r="F9" s="15"/>
      <c r="G9" s="12" t="n">
        <f aca="false">SUM(G6:G8)</f>
        <v>653076.923076923</v>
      </c>
      <c r="H9" s="15"/>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0"/>
  </cols>
  <sheetData>
    <row r="1" customFormat="false" ht="19.7" hidden="false" customHeight="false" outlineLevel="0" collapsed="false">
      <c r="A1" s="1" t="s">
        <v>270</v>
      </c>
    </row>
    <row r="2" customFormat="false" ht="15" hidden="false" customHeight="false" outlineLevel="0" collapsed="false">
      <c r="A2" s="2" t="s">
        <v>271</v>
      </c>
    </row>
    <row r="4" customFormat="false" ht="42" hidden="false" customHeight="true" outlineLevel="0" collapsed="false">
      <c r="A4" s="4" t="s">
        <v>272</v>
      </c>
      <c r="B4" s="4" t="s">
        <v>273</v>
      </c>
    </row>
    <row r="5" customFormat="false" ht="43.5" hidden="false" customHeight="true" outlineLevel="0" collapsed="false">
      <c r="A5" s="52" t="s">
        <v>274</v>
      </c>
      <c r="B5" s="10" t="s">
        <v>275</v>
      </c>
    </row>
    <row r="6" customFormat="false" ht="43.5" hidden="false" customHeight="true" outlineLevel="0" collapsed="false">
      <c r="A6" s="52" t="s">
        <v>276</v>
      </c>
      <c r="B6" s="10" t="s">
        <v>277</v>
      </c>
    </row>
    <row r="7" customFormat="false" ht="43.5" hidden="false" customHeight="true" outlineLevel="0" collapsed="false">
      <c r="A7" s="52" t="s">
        <v>278</v>
      </c>
      <c r="B7" s="10" t="s">
        <v>279</v>
      </c>
    </row>
    <row r="8" customFormat="false" ht="43.5" hidden="false" customHeight="true" outlineLevel="0" collapsed="false">
      <c r="A8" s="52" t="s">
        <v>280</v>
      </c>
      <c r="B8" s="10" t="s">
        <v>281</v>
      </c>
    </row>
    <row r="9" customFormat="false" ht="43.5" hidden="false" customHeight="true" outlineLevel="0" collapsed="false">
      <c r="A9" s="52" t="s">
        <v>282</v>
      </c>
      <c r="B9" s="10" t="s">
        <v>283</v>
      </c>
    </row>
    <row r="10" customFormat="false" ht="43.5" hidden="false" customHeight="true" outlineLevel="0" collapsed="false">
      <c r="A10" s="52" t="s">
        <v>284</v>
      </c>
      <c r="B10" s="10" t="s">
        <v>285</v>
      </c>
    </row>
    <row r="11" customFormat="false" ht="43.5" hidden="false" customHeight="true" outlineLevel="0" collapsed="false">
      <c r="A11" s="52" t="s">
        <v>286</v>
      </c>
      <c r="B11" s="10" t="s">
        <v>287</v>
      </c>
    </row>
    <row r="12" customFormat="false" ht="43.5" hidden="false" customHeight="true" outlineLevel="0" collapsed="false">
      <c r="A12" s="52" t="s">
        <v>288</v>
      </c>
      <c r="B12" s="10" t="s">
        <v>289</v>
      </c>
    </row>
    <row r="13" customFormat="false" ht="43.5" hidden="false" customHeight="true" outlineLevel="0" collapsed="false">
      <c r="A13" s="52" t="s">
        <v>290</v>
      </c>
      <c r="B13" s="10" t="s">
        <v>291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2026-10-09T04:25:55Z</dcterms:created>
  <dc:creator>openpyxl</dc:creator>
  <dc:description/>
  <dc:language>en-US</dc:language>
  <cp:lastModifiedBy/>
  <dcterms:modified xsi:type="dcterms:W3CDTF">2026-10-09T04:25:57Z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