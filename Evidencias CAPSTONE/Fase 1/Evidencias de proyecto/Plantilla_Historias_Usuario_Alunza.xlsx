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524f7a7ef4d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73f3c3a37c54012"/>
    <x:sheet xmlns:r="http://schemas.openxmlformats.org/officeDocument/2006/relationships" name="Historias" sheetId="2" r:id="R50ae527fc8ab4def"/>
    <x:sheet xmlns:r="http://schemas.openxmlformats.org/officeDocument/2006/relationships" name="Escenarios" sheetId="3" r:id="Rc3195b07a976400a"/>
    <x:sheet xmlns:r="http://schemas.openxmlformats.org/officeDocument/2006/relationships" name="Catálogos y reglas" sheetId="4" r:id="R711e9a769c02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23B5D"/>
      <x:name val="Carlito"/>
    </x:font>
    <x:font>
      <x:b/>
      <x:sz val="10"/>
      <x:color rgb="FFFFFFFF"/>
      <x:name val="Carlito"/>
    </x:font>
    <x:font>
      <x:sz val="9"/>
      <x:color rgb="FF172B3A"/>
      <x:name val="Carlito"/>
    </x:font>
    <x:font>
      <x:i/>
      <x:sz val="9"/>
      <x:color rgb="FF123B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A42"/>
      </x:patternFill>
    </x:fill>
    <x:fill>
      <x:patternFill patternType="solid">
        <x:fgColor rgb="FFEAF2F8"/>
      </x:patternFill>
    </x:fill>
    <x:fill>
      <x:patternFill patternType="solid">
        <x:fgColor rgb="FF123B5D"/>
      </x:patternFill>
    </x:fill>
    <x:fill>
      <x:patternFill patternType="solid">
        <x:fgColor rgb="FFDDF5F3"/>
      </x:patternFill>
    </x:fill>
  </x:fills>
  <x:borders count="2">
    <x:border/>
    <x:border>
      <x:left style="thin">
        <x:color rgb="FFCBD8E2"/>
      </x:left>
      <x:right style="thin">
        <x:color rgb="FFCBD8E2"/>
      </x:right>
      <x:top style="thin">
        <x:color rgb="FFCBD8E2"/>
      </x:top>
      <x:bottom style="thin">
        <x:color rgb="FFCBD8E2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A3261D"/>
      </x:font>
      <x:fill>
        <x:patternFill>
          <x:bgColor rgb="FFFDE8E7"/>
        </x:patternFill>
      </x:fill>
    </x:dxf>
    <x:dxf>
      <x:font>
        <x:b/>
        <x:color rgb="FF8A5A00"/>
      </x:font>
      <x:fill>
        <x:patternFill>
          <x:bgColor rgb="FFFFF4D6"/>
        </x:patternFill>
      </x:fill>
    </x:dxf>
    <x:dxf>
      <x:font>
        <x:b/>
        <x:color rgb="FF123B5D"/>
      </x:font>
      <x:fill>
        <x:patternFill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777568d8b40b1" /><Relationship Type="http://schemas.openxmlformats.org/officeDocument/2006/relationships/theme" Target="/xl/theme/theme1.xml" Id="R8db7f4f394b341f6" /><Relationship Type="http://schemas.openxmlformats.org/officeDocument/2006/relationships/sharedStrings" Target="/xl/sharedStrings.xml" Id="R88f4c6d307fc47cd" /><Relationship Type="http://schemas.openxmlformats.org/officeDocument/2006/relationships/worksheet" Target="/xl/worksheets/sheet1.xml" Id="Rd73f3c3a37c54012" /><Relationship Type="http://schemas.openxmlformats.org/officeDocument/2006/relationships/worksheet" Target="/xl/worksheets/sheet2.xml" Id="R50ae527fc8ab4def" /><Relationship Type="http://schemas.openxmlformats.org/officeDocument/2006/relationships/worksheet" Target="/xl/worksheets/sheet3.xml" Id="Rc3195b07a976400a" /><Relationship Type="http://schemas.openxmlformats.org/officeDocument/2006/relationships/worksheet" Target="/xl/worksheets/sheet4.xml" Id="R711e9a769c024804" /></Relationships>
</file>

<file path=xl/tables/table1.xml><?xml version="1.0" encoding="utf-8"?>
<x:table xmlns:x="http://schemas.openxmlformats.org/spreadsheetml/2006/main" id="1" name="HistoriasAlunza" displayName="HistoriasAlunza" ref="A5:M32" headerRowCount="1" totalsRowCount="0" totalsRowShown="0">
  <x:tableColumns count="13">
    <x:tableColumn id="1" name="ID HU"/>
    <x:tableColumn id="2" name="Rol"/>
    <x:tableColumn id="3" name="Necesidad"/>
    <x:tableColumn id="4" name="Resultado esperado"/>
    <x:tableColumn id="5" name="Alias"/>
    <x:tableColumn id="6" name="Prioridad"/>
    <x:tableColumn id="7" name="Sprint"/>
    <x:tableColumn id="8" name="Estado"/>
    <x:tableColumn id="9" name="Puntos"/>
    <x:tableColumn id="10" name="RF"/>
    <x:tableColumn id="11" name="CU"/>
    <x:tableColumn id="12" name="Prueba"/>
    <x:tableColumn id="13" name="Respons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scenariosAlunza" displayName="EscenariosAlunza" ref="A5:H113" headerRowCount="1" totalsRowCount="0" totalsRowShown="0">
  <x:tableColumns count="8">
    <x:tableColumn id="1" name="ID HU"/>
    <x:tableColumn id="2" name="ID escenario"/>
    <x:tableColumn id="3" name="N.º"/>
    <x:tableColumn id="4" name="Título"/>
    <x:tableColumn id="5" name="Contexto (Dado)"/>
    <x:tableColumn id="6" name="Evento (Cuando)"/>
    <x:tableColumn id="7" name="Resultado esperado (Entonces)"/>
    <x:tableColumn id="8" name="Prueb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94a88c2e0f42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92529ba686421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7" t="str">
        <x:v>Alunza — Historias de usuario</x:v>
      </x:c>
      <x:c r="B1" s="7"/>
      <x:c r="C1" s="7"/>
      <x:c r="D1" s="7"/>
      <x:c r="E1" s="7"/>
      <x:c r="F1" s="7"/>
      <x:c r="G1" s="7"/>
      <x:c r="H1" s="7"/>
    </x:row>
    <x:row r="2" ht="24" customHeight="1">
      <x:c r="A2" s="8" t="str">
        <x:v>Cierre documental de Fase 1 · corte 02/09/2026 · datos de demostración sintéticos</x:v>
      </x:c>
      <x:c r="B2" s="8"/>
      <x:c r="C2" s="8"/>
      <x:c r="D2" s="8"/>
      <x:c r="E2" s="8"/>
      <x:c r="F2" s="8"/>
      <x:c r="G2" s="8"/>
      <x:c r="H2" s="8"/>
    </x:row>
    <x:row r="4" ht="34" customHeight="1">
      <x:c r="A4" s="14" t="str">
        <x:v>Indicador</x:v>
      </x:c>
      <x:c r="B4" s="14" t="str">
        <x:v>Resultado</x:v>
      </x:c>
      <x:c r="C4" s="14" t="str">
        <x:v>Criterio</x:v>
      </x:c>
      <x:c r="D4" s="14" t="str">
        <x:v>Estado al corte</x:v>
      </x:c>
    </x:row>
    <x:row r="5">
      <x:c r="A5" s="18" t="str">
        <x:v>Historias únicas</x:v>
      </x:c>
      <x:c r="B5" s="19" t="n">
        <x:f>COUNTA('Historias'!$A$6:$A$32)</x:f>
        <x:v>27</x:v>
      </x:c>
      <x:c r="C5" s="19" t="n">
        <x:v>27</x:v>
      </x:c>
      <x:c r="D5" s="18" t="str">
        <x:v>Aprobado internamente</x:v>
      </x:c>
    </x:row>
    <x:row r="6">
      <x:c r="A6" s="18" t="str">
        <x:v>Escenarios de aceptación</x:v>
      </x:c>
      <x:c r="B6" s="19" t="n">
        <x:f>COUNTA('Escenarios'!$B$6:$B$113)</x:f>
        <x:v>108</x:v>
      </x:c>
      <x:c r="C6" s="19" t="n">
        <x:v>108</x:v>
      </x:c>
      <x:c r="D6" s="18" t="str">
        <x:v>Aprobado internamente</x:v>
      </x:c>
    </x:row>
    <x:row r="7">
      <x:c r="A7" s="18" t="str">
        <x:v>Puntos del Product Backlog</x:v>
      </x:c>
      <x:c r="B7" s="19" t="n">
        <x:f>SUM('Historias'!$I$6:$I$32)</x:f>
        <x:v>184</x:v>
      </x:c>
      <x:c r="C7" s="19" t="n">
        <x:v>184</x:v>
      </x:c>
      <x:c r="D7" s="18" t="str">
        <x:v>Planificado</x:v>
      </x:c>
    </x:row>
    <x:row r="8">
      <x:c r="A8" s="18" t="str">
        <x:v>Trazabilidad HU–RF–CU–prueba</x:v>
      </x:c>
      <x:c r="B8" s="18" t="str">
        <x:f>COUNTA('Historias'!$J$6:$J$32)&amp;" / "&amp;COUNTA('Historias'!$K$6:$K$32)&amp;" / "&amp;COUNTA('Historias'!$L$6:$L$32)</x:f>
        <x:v>27 / 27 / 27</x:v>
      </x:c>
      <x:c r="C8" s="18" t="str">
        <x:v>27 / 27 / 27</x:v>
      </x:c>
      <x:c r="D8" s="18" t="str">
        <x:v>Pruebas y evidencia de ejecución planificadas</x:v>
      </x:c>
    </x:row>
    <x:row r="11" ht="34" customHeight="1">
      <x:c r="A11" s="14" t="str">
        <x:v>Principio</x:v>
      </x:c>
      <x:c r="B11" s="14" t="str">
        <x:v>Detalle</x:v>
      </x:c>
      <x:c r="C11" s="14"/>
      <x:c r="D11" s="14"/>
      <x:c r="E11" s="14"/>
      <x:c r="F11" s="14"/>
      <x:c r="G11" s="14"/>
      <x:c r="H11" s="14"/>
    </x:row>
    <x:row r="12">
      <x:c r="A12" s="18" t="str">
        <x:v>Alcance de IA</x:v>
      </x:c>
      <x:c r="B12" s="18" t="str">
        <x:v>IA generativa con RAG entrega explicación, pista y referencias; no calcula notas, progreso ni señales.</x:v>
      </x:c>
      <x:c r="C12" s="18"/>
      <x:c r="D12" s="18"/>
      <x:c r="E12" s="18"/>
      <x:c r="F12" s="18"/>
      <x:c r="G12" s="18"/>
      <x:c r="H12" s="18"/>
    </x:row>
    <x:row r="13">
      <x:c r="A13" s="18" t="str">
        <x:v>Persistencia</x:v>
      </x:c>
      <x:c r="B13" s="18" t="str">
        <x:v>Todo intento se persiste antes de solicitar feedback. La caída del proveedor no elimina evidencia.</x:v>
      </x:c>
      <x:c r="C13" s="18"/>
      <x:c r="D13" s="18"/>
      <x:c r="E13" s="18"/>
      <x:c r="F13" s="18"/>
      <x:c r="G13" s="18"/>
      <x:c r="H13" s="18"/>
    </x:row>
    <x:row r="14">
      <x:c r="A14" s="18" t="str">
        <x:v>Cálculo docente</x:v>
      </x:c>
      <x:c r="B14" s="18" t="str">
        <x:v>El progreso y las señales se obtienen mediante reglas y agregados SQL deterministas.</x:v>
      </x:c>
      <x:c r="C14" s="18"/>
      <x:c r="D14" s="18"/>
      <x:c r="E14" s="18"/>
      <x:c r="F14" s="18"/>
      <x:c r="G14" s="18"/>
      <x:c r="H14" s="18"/>
    </x:row>
    <x:row r="15">
      <x:c r="A15" s="18" t="str">
        <x:v>Exclusión formal</x:v>
      </x:c>
      <x:c r="B15" s="18" t="str">
        <x:v>Fuera del MVP: LMS completo, aplicación móvil nativa, SSO institucional, pagos y calificación automática de alto impacto.</x:v>
      </x:c>
      <x:c r="C15" s="18"/>
      <x:c r="D15" s="18"/>
      <x:c r="E15" s="18"/>
      <x:c r="F15" s="18"/>
      <x:c r="G15" s="18"/>
      <x:c r="H15" s="18"/>
    </x:row>
  </x:sheetData>
  <x:mergeCells>
    <x:mergeCell ref="A1:H1"/>
    <x:mergeCell ref="A2:H2"/>
    <x:mergeCell ref="B11:H11"/>
    <x:mergeCell ref="B12:H12"/>
    <x:mergeCell ref="B13:H13"/>
    <x:mergeCell ref="B14:H14"/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38" hidden="0" customWidth="1"/>
    <x:col min="4" max="4" width="38" hidden="0" customWidth="1"/>
    <x:col min="5" max="5" width="24" hidden="0" customWidth="1"/>
    <x:col min="6" max="6" width="12" hidden="0" customWidth="1"/>
    <x:col min="7" max="7" width="12" hidden="0" customWidth="1"/>
    <x:col min="8" max="8" width="20" hidden="0" customWidth="1"/>
    <x:col min="9" max="9" width="9" hidden="0" customWidth="1"/>
    <x:col min="10" max="10" width="16" hidden="0" customWidth="1"/>
    <x:col min="11" max="11" width="16" hidden="0" customWidth="1"/>
    <x:col min="12" max="12" width="16" hidden="0" customWidth="1"/>
    <x:col min="13" max="13" width="20" hidden="0" customWidth="1"/>
  </x:cols>
  <x:sheetData>
    <x:row r="1" ht="30" customHeight="1">
      <x:c r="A1" s="7" t="str">
        <x:v>Alunza — Catálogo de 27 historias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24" customHeight="1">
      <x:c r="A2" s="8" t="str">
        <x:v>MVP comprometido · S2 inicia en semana 5 · ninguna funcionalidad se declara implementada al cierre de semana 4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5" ht="34" customHeight="1">
      <x:c r="A5" s="14" t="str">
        <x:v>ID HU</x:v>
      </x:c>
      <x:c r="B5" s="14" t="str">
        <x:v>Rol</x:v>
      </x:c>
      <x:c r="C5" s="14" t="str">
        <x:v>Necesidad</x:v>
      </x:c>
      <x:c r="D5" s="14" t="str">
        <x:v>Resultado esperado</x:v>
      </x:c>
      <x:c r="E5" s="14" t="str">
        <x:v>Alias</x:v>
      </x:c>
      <x:c r="F5" s="14" t="str">
        <x:v>Prioridad</x:v>
      </x:c>
      <x:c r="G5" s="14" t="str">
        <x:v>Sprint</x:v>
      </x:c>
      <x:c r="H5" s="14" t="str">
        <x:v>Estado</x:v>
      </x:c>
      <x:c r="I5" s="14" t="str">
        <x:v>Puntos</x:v>
      </x:c>
      <x:c r="J5" s="14" t="str">
        <x:v>RF</x:v>
      </x:c>
      <x:c r="K5" s="14" t="str">
        <x:v>CU</x:v>
      </x:c>
      <x:c r="L5" s="14" t="str">
        <x:v>Prueba</x:v>
      </x:c>
      <x:c r="M5" s="14" t="str">
        <x:v>Responsable</x:v>
      </x:c>
    </x:row>
    <x:row r="6">
      <x:c r="A6" s="18" t="str">
        <x:v>ALZ-HU-001</x:v>
      </x:c>
      <x:c r="B6" s="18" t="str">
        <x:v>usuario autorizado (administrador, profesor o estudiante)</x:v>
      </x:c>
      <x:c r="C6" s="18" t="str">
        <x:v>iniciar y cerrar sesión de forma segura</x:v>
      </x:c>
      <x:c r="D6" s="18" t="str">
        <x:v>acceder solo a funciones y datos permitidos</x:v>
      </x:c>
      <x:c r="E6" s="18" t="str">
        <x:v>Autenticación y sesión</x:v>
      </x:c>
      <x:c r="F6" s="18" t="str">
        <x:v>Crítica</x:v>
      </x:c>
      <x:c r="G6" s="18" t="str">
        <x:v>Sprint 2</x:v>
      </x:c>
      <x:c r="H6" s="18" t="str">
        <x:v>Planificado</x:v>
      </x:c>
      <x:c r="I6" s="19" t="n">
        <x:v>5</x:v>
      </x:c>
      <x:c r="J6" s="18" t="str">
        <x:v>ALZ-RF-001</x:v>
      </x:c>
      <x:c r="K6" s="18" t="str">
        <x:v>ALZ-CU-001</x:v>
      </x:c>
      <x:c r="L6" s="18" t="str">
        <x:v>ALZ-PT-001</x:v>
      </x:c>
      <x:c r="M6" s="18" t="str">
        <x:v>Marcelo Núñez</x:v>
      </x:c>
    </x:row>
    <x:row r="7">
      <x:c r="A7" s="18" t="str">
        <x:v>ALZ-HU-002</x:v>
      </x:c>
      <x:c r="B7" s="18" t="str">
        <x:v>profesor</x:v>
      </x:c>
      <x:c r="C7" s="18" t="str">
        <x:v>crear y configurar una clase dentro de su organización</x:v>
      </x:c>
      <x:c r="D7" s="18" t="str">
        <x:v>organizar estudiantes, actividades y materiales del curso</x:v>
      </x:c>
      <x:c r="E7" s="18" t="str">
        <x:v>Configurar clase</x:v>
      </x:c>
      <x:c r="F7" s="18" t="str">
        <x:v>Crítica</x:v>
      </x:c>
      <x:c r="G7" s="18" t="str">
        <x:v>Sprint 2</x:v>
      </x:c>
      <x:c r="H7" s="18" t="str">
        <x:v>Planificado</x:v>
      </x:c>
      <x:c r="I7" s="19" t="n">
        <x:v>5</x:v>
      </x:c>
      <x:c r="J7" s="18" t="str">
        <x:v>ALZ-RF-002</x:v>
      </x:c>
      <x:c r="K7" s="18" t="str">
        <x:v>ALZ-CU-002</x:v>
      </x:c>
      <x:c r="L7" s="18" t="str">
        <x:v>ALZ-PT-002</x:v>
      </x:c>
      <x:c r="M7" s="18" t="str">
        <x:v>Benjamin Pérez</x:v>
      </x:c>
    </x:row>
    <x:row r="8">
      <x:c r="A8" s="18" t="str">
        <x:v>ALZ-HU-003</x:v>
      </x:c>
      <x:c r="B8" s="18" t="str">
        <x:v>estudiante</x:v>
      </x:c>
      <x:c r="C8" s="18" t="str">
        <x:v>incorporarme a una clase mediante un código vigente</x:v>
      </x:c>
      <x:c r="D8" s="18" t="str">
        <x:v>acceder a las actividades que me corresponden</x:v>
      </x:c>
      <x:c r="E8" s="18" t="str">
        <x:v>Inscripción con código</x:v>
      </x:c>
      <x:c r="F8" s="18" t="str">
        <x:v>Alta</x:v>
      </x:c>
      <x:c r="G8" s="18" t="str">
        <x:v>Sprint 2</x:v>
      </x:c>
      <x:c r="H8" s="18" t="str">
        <x:v>Planificado</x:v>
      </x:c>
      <x:c r="I8" s="19" t="n">
        <x:v>3</x:v>
      </x:c>
      <x:c r="J8" s="18" t="str">
        <x:v>ALZ-RF-003</x:v>
      </x:c>
      <x:c r="K8" s="18" t="str">
        <x:v>ALZ-CU-003</x:v>
      </x:c>
      <x:c r="L8" s="18" t="str">
        <x:v>ALZ-PT-003</x:v>
      </x:c>
      <x:c r="M8" s="18" t="str">
        <x:v>Benjamin Pérez</x:v>
      </x:c>
    </x:row>
    <x:row r="9">
      <x:c r="A9" s="18" t="str">
        <x:v>ALZ-HU-004</x:v>
      </x:c>
      <x:c r="B9" s="18" t="str">
        <x:v>profesor</x:v>
      </x:c>
      <x:c r="C9" s="18" t="str">
        <x:v>crear y mantener ejercicios con JavaScript, conceptos, pruebas y límites</x:v>
      </x:c>
      <x:c r="D9" s="18" t="str">
        <x:v>reutilizarlos de forma segura en actividades</x:v>
      </x:c>
      <x:c r="E9" s="18" t="str">
        <x:v>Crear ejercicios</x:v>
      </x:c>
      <x:c r="F9" s="18" t="str">
        <x:v>Crítica</x:v>
      </x:c>
      <x:c r="G9" s="18" t="str">
        <x:v>Sprint 3</x:v>
      </x:c>
      <x:c r="H9" s="18" t="str">
        <x:v>Planificado</x:v>
      </x:c>
      <x:c r="I9" s="19" t="n">
        <x:v>8</x:v>
      </x:c>
      <x:c r="J9" s="18" t="str">
        <x:v>ALZ-RF-004</x:v>
      </x:c>
      <x:c r="K9" s="18" t="str">
        <x:v>ALZ-CU-004</x:v>
      </x:c>
      <x:c r="L9" s="18" t="str">
        <x:v>ALZ-PT-004</x:v>
      </x:c>
      <x:c r="M9" s="18" t="str">
        <x:v>Marcelo Núñez</x:v>
      </x:c>
    </x:row>
    <x:row r="10">
      <x:c r="A10" s="18" t="str">
        <x:v>ALZ-HU-005</x:v>
      </x:c>
      <x:c r="B10" s="18" t="str">
        <x:v>profesor</x:v>
      </x:c>
      <x:c r="C10" s="18" t="str">
        <x:v>componer y publicar una actividad con ejercicios ordenados</x:v>
      </x:c>
      <x:c r="D10" s="18" t="str">
        <x:v>asignar práctica evaluable a una clase</x:v>
      </x:c>
      <x:c r="E10" s="18" t="str">
        <x:v>Publicar actividad</x:v>
      </x:c>
      <x:c r="F10" s="18" t="str">
        <x:v>Crítica</x:v>
      </x:c>
      <x:c r="G10" s="18" t="str">
        <x:v>Sprint 3</x:v>
      </x:c>
      <x:c r="H10" s="18" t="str">
        <x:v>Planificado</x:v>
      </x:c>
      <x:c r="I10" s="19" t="n">
        <x:v>8</x:v>
      </x:c>
      <x:c r="J10" s="18" t="str">
        <x:v>ALZ-RF-005</x:v>
      </x:c>
      <x:c r="K10" s="18" t="str">
        <x:v>ALZ-CU-005</x:v>
      </x:c>
      <x:c r="L10" s="18" t="str">
        <x:v>ALZ-PT-005</x:v>
      </x:c>
      <x:c r="M10" s="18" t="str">
        <x:v>Benjamin Pérez</x:v>
      </x:c>
    </x:row>
    <x:row r="11">
      <x:c r="A11" s="18" t="str">
        <x:v>ALZ-HU-006</x:v>
      </x:c>
      <x:c r="B11" s="18" t="str">
        <x:v>profesor</x:v>
      </x:c>
      <x:c r="C11" s="18" t="str">
        <x:v>incorporar material oficial autorizado</x:v>
      </x:c>
      <x:c r="D11" s="18" t="str">
        <x:v>sustentar el feedback RAG con fuentes de la clase</x:v>
      </x:c>
      <x:c r="E11" s="18" t="str">
        <x:v>Incorporar material RAG</x:v>
      </x:c>
      <x:c r="F11" s="18" t="str">
        <x:v>Alta</x:v>
      </x:c>
      <x:c r="G11" s="18" t="str">
        <x:v>Sprint 5</x:v>
      </x:c>
      <x:c r="H11" s="18" t="str">
        <x:v>Planificado</x:v>
      </x:c>
      <x:c r="I11" s="19" t="n">
        <x:v>8</x:v>
      </x:c>
      <x:c r="J11" s="18" t="str">
        <x:v>ALZ-RF-006</x:v>
      </x:c>
      <x:c r="K11" s="18" t="str">
        <x:v>ALZ-CU-006</x:v>
      </x:c>
      <x:c r="L11" s="18" t="str">
        <x:v>ALZ-PT-006</x:v>
      </x:c>
      <x:c r="M11" s="18" t="str">
        <x:v>Marcelo Núñez</x:v>
      </x:c>
    </x:row>
    <x:row r="12">
      <x:c r="A12" s="18" t="str">
        <x:v>ALZ-HU-007</x:v>
      </x:c>
      <x:c r="B12" s="18" t="str">
        <x:v>estudiante</x:v>
      </x:c>
      <x:c r="C12" s="18" t="str">
        <x:v>consultar actividades publicadas y su estado</x:v>
      </x:c>
      <x:c r="D12" s="18" t="str">
        <x:v>saber qué debo resolver y qué ya completé</x:v>
      </x:c>
      <x:c r="E12" s="18" t="str">
        <x:v>Consultar actividades</x:v>
      </x:c>
      <x:c r="F12" s="18" t="str">
        <x:v>Alta</x:v>
      </x:c>
      <x:c r="G12" s="18" t="str">
        <x:v>Sprint 4</x:v>
      </x:c>
      <x:c r="H12" s="18" t="str">
        <x:v>Planificado</x:v>
      </x:c>
      <x:c r="I12" s="19" t="n">
        <x:v>3</x:v>
      </x:c>
      <x:c r="J12" s="18" t="str">
        <x:v>ALZ-RF-007</x:v>
      </x:c>
      <x:c r="K12" s="18" t="str">
        <x:v>ALZ-CU-007</x:v>
      </x:c>
      <x:c r="L12" s="18" t="str">
        <x:v>ALZ-PT-007</x:v>
      </x:c>
      <x:c r="M12" s="18" t="str">
        <x:v>Benjamin Pérez</x:v>
      </x:c>
    </x:row>
    <x:row r="13">
      <x:c r="A13" s="18" t="str">
        <x:v>ALZ-HU-008</x:v>
      </x:c>
      <x:c r="B13" s="18" t="str">
        <x:v>estudiante</x:v>
      </x:c>
      <x:c r="C13" s="18" t="str">
        <x:v>abrir un ejercicio con enunciado, conceptos, plantilla y pruebas visibles</x:v>
      </x:c>
      <x:c r="D13" s="18" t="str">
        <x:v>comprender la tarea antes de programar</x:v>
      </x:c>
      <x:c r="E13" s="18" t="str">
        <x:v>Abrir ejercicio</x:v>
      </x:c>
      <x:c r="F13" s="18" t="str">
        <x:v>Alta</x:v>
      </x:c>
      <x:c r="G13" s="18" t="str">
        <x:v>Sprint 3</x:v>
      </x:c>
      <x:c r="H13" s="18" t="str">
        <x:v>Planificado</x:v>
      </x:c>
      <x:c r="I13" s="19" t="n">
        <x:v>3</x:v>
      </x:c>
      <x:c r="J13" s="18" t="str">
        <x:v>ALZ-RF-008</x:v>
      </x:c>
      <x:c r="K13" s="18" t="str">
        <x:v>ALZ-CU-008</x:v>
      </x:c>
      <x:c r="L13" s="18" t="str">
        <x:v>ALZ-PT-008</x:v>
      </x:c>
      <x:c r="M13" s="18" t="str">
        <x:v>Benjamin Pérez</x:v>
      </x:c>
    </x:row>
    <x:row r="14">
      <x:c r="A14" s="18" t="str">
        <x:v>ALZ-HU-009</x:v>
      </x:c>
      <x:c r="B14" s="18" t="str">
        <x:v>estudiante</x:v>
      </x:c>
      <x:c r="C14" s="18" t="str">
        <x:v>ejecutar código JavaScript en un entorno aislado</x:v>
      </x:c>
      <x:c r="D14" s="18" t="str">
        <x:v>comprobar mi solución antes de enviarla</x:v>
      </x:c>
      <x:c r="E14" s="18" t="str">
        <x:v>Ejecutar JavaScript</x:v>
      </x:c>
      <x:c r="F14" s="18" t="str">
        <x:v>Crítica</x:v>
      </x:c>
      <x:c r="G14" s="18" t="str">
        <x:v>Sprint 4</x:v>
      </x:c>
      <x:c r="H14" s="18" t="str">
        <x:v>Planificado</x:v>
      </x:c>
      <x:c r="I14" s="19" t="n">
        <x:v>13</x:v>
      </x:c>
      <x:c r="J14" s="18" t="str">
        <x:v>ALZ-RF-009</x:v>
      </x:c>
      <x:c r="K14" s="18" t="str">
        <x:v>ALZ-CU-009</x:v>
      </x:c>
      <x:c r="L14" s="18" t="str">
        <x:v>ALZ-PT-009</x:v>
      </x:c>
      <x:c r="M14" s="18" t="str">
        <x:v>Abraham Retamal</x:v>
      </x:c>
    </x:row>
    <x:row r="15">
      <x:c r="A15" s="18" t="str">
        <x:v>ALZ-HU-010</x:v>
      </x:c>
      <x:c r="B15" s="18" t="str">
        <x:v>estudiante</x:v>
      </x:c>
      <x:c r="C15" s="18" t="str">
        <x:v>enviar una solución y conservar cada intento</x:v>
      </x:c>
      <x:c r="D15" s="18" t="str">
        <x:v>mantener evidencia completa del proceso</x:v>
      </x:c>
      <x:c r="E15" s="18" t="str">
        <x:v>Persistir intento</x:v>
      </x:c>
      <x:c r="F15" s="18" t="str">
        <x:v>Crítica</x:v>
      </x:c>
      <x:c r="G15" s="18" t="str">
        <x:v>Sprint 4</x:v>
      </x:c>
      <x:c r="H15" s="18" t="str">
        <x:v>Planificado</x:v>
      </x:c>
      <x:c r="I15" s="19" t="n">
        <x:v>8</x:v>
      </x:c>
      <x:c r="J15" s="18" t="str">
        <x:v>ALZ-RF-010</x:v>
      </x:c>
      <x:c r="K15" s="18" t="str">
        <x:v>ALZ-CU-010</x:v>
      </x:c>
      <x:c r="L15" s="18" t="str">
        <x:v>ALZ-PT-010</x:v>
      </x:c>
      <x:c r="M15" s="18" t="str">
        <x:v>Marcelo Núñez</x:v>
      </x:c>
    </x:row>
    <x:row r="16">
      <x:c r="A16" s="18" t="str">
        <x:v>ALZ-HU-011</x:v>
      </x:c>
      <x:c r="B16" s="18" t="str">
        <x:v>estudiante</x:v>
      </x:c>
      <x:c r="C16" s="18" t="str">
        <x:v>ver un diagnóstico técnico basado en pruebas deterministas</x:v>
      </x:c>
      <x:c r="D16" s="18" t="str">
        <x:v>identificar por qué falla mi solución</x:v>
      </x:c>
      <x:c r="E16" s="18" t="str">
        <x:v>Diagnóstico técnico</x:v>
      </x:c>
      <x:c r="F16" s="18" t="str">
        <x:v>Crítica</x:v>
      </x:c>
      <x:c r="G16" s="18" t="str">
        <x:v>Sprint 4</x:v>
      </x:c>
      <x:c r="H16" s="18" t="str">
        <x:v>Planificado</x:v>
      </x:c>
      <x:c r="I16" s="19" t="n">
        <x:v>5</x:v>
      </x:c>
      <x:c r="J16" s="18" t="str">
        <x:v>ALZ-RF-011</x:v>
      </x:c>
      <x:c r="K16" s="18" t="str">
        <x:v>ALZ-CU-011</x:v>
      </x:c>
      <x:c r="L16" s="18" t="str">
        <x:v>ALZ-PT-011</x:v>
      </x:c>
      <x:c r="M16" s="18" t="str">
        <x:v>Abraham Retamal</x:v>
      </x:c>
    </x:row>
    <x:row r="17">
      <x:c r="A17" s="18" t="str">
        <x:v>ALZ-HU-012</x:v>
      </x:c>
      <x:c r="B17" s="18" t="str">
        <x:v>estudiante</x:v>
      </x:c>
      <x:c r="C17" s="18" t="str">
        <x:v>solicitar pistas progresivas vinculadas a mi intento</x:v>
      </x:c>
      <x:c r="D17" s="18" t="str">
        <x:v>avanzar sin recibir directamente la solución</x:v>
      </x:c>
      <x:c r="E17" s="18" t="str">
        <x:v>Pista progresiva</x:v>
      </x:c>
      <x:c r="F17" s="18" t="str">
        <x:v>Alta</x:v>
      </x:c>
      <x:c r="G17" s="18" t="str">
        <x:v>Sprint 5</x:v>
      </x:c>
      <x:c r="H17" s="18" t="str">
        <x:v>Planificado</x:v>
      </x:c>
      <x:c r="I17" s="19" t="n">
        <x:v>8</x:v>
      </x:c>
      <x:c r="J17" s="18" t="str">
        <x:v>ALZ-RF-012</x:v>
      </x:c>
      <x:c r="K17" s="18" t="str">
        <x:v>ALZ-CU-012</x:v>
      </x:c>
      <x:c r="L17" s="18" t="str">
        <x:v>ALZ-PT-012</x:v>
      </x:c>
      <x:c r="M17" s="18" t="str">
        <x:v>Marcelo Núñez</x:v>
      </x:c>
    </x:row>
    <x:row r="18">
      <x:c r="A18" s="18" t="str">
        <x:v>ALZ-HU-013</x:v>
      </x:c>
      <x:c r="B18" s="18" t="str">
        <x:v>estudiante</x:v>
      </x:c>
      <x:c r="C18" s="18" t="str">
        <x:v>recibir feedback sustentado en material oficial</x:v>
      </x:c>
      <x:c r="D18" s="18" t="str">
        <x:v>comprender el error y consultar la fuente utilizada</x:v>
      </x:c>
      <x:c r="E18" s="18" t="str">
        <x:v>Feedback RAG</x:v>
      </x:c>
      <x:c r="F18" s="18" t="str">
        <x:v>Crítica</x:v>
      </x:c>
      <x:c r="G18" s="18" t="str">
        <x:v>Sprint 5</x:v>
      </x:c>
      <x:c r="H18" s="18" t="str">
        <x:v>Planificado</x:v>
      </x:c>
      <x:c r="I18" s="19" t="n">
        <x:v>13</x:v>
      </x:c>
      <x:c r="J18" s="18" t="str">
        <x:v>ALZ-RF-013</x:v>
      </x:c>
      <x:c r="K18" s="18" t="str">
        <x:v>ALZ-CU-013</x:v>
      </x:c>
      <x:c r="L18" s="18" t="str">
        <x:v>ALZ-PT-013</x:v>
      </x:c>
      <x:c r="M18" s="18" t="str">
        <x:v>Marcelo Núñez</x:v>
      </x:c>
    </x:row>
    <x:row r="19">
      <x:c r="A19" s="18" t="str">
        <x:v>ALZ-HU-014</x:v>
      </x:c>
      <x:c r="B19" s="18" t="str">
        <x:v>estudiante</x:v>
      </x:c>
      <x:c r="C19" s="18" t="str">
        <x:v>reintentar un ejercicio sin perder el historial</x:v>
      </x:c>
      <x:c r="D19" s="18" t="str">
        <x:v>aplicar el feedback y evidenciar cambios</x:v>
      </x:c>
      <x:c r="E19" s="18" t="str">
        <x:v>Reintentar ejercicio</x:v>
      </x:c>
      <x:c r="F19" s="18" t="str">
        <x:v>Alta</x:v>
      </x:c>
      <x:c r="G19" s="18" t="str">
        <x:v>Sprint 4</x:v>
      </x:c>
      <x:c r="H19" s="18" t="str">
        <x:v>Planificado</x:v>
      </x:c>
      <x:c r="I19" s="19" t="n">
        <x:v>5</x:v>
      </x:c>
      <x:c r="J19" s="18" t="str">
        <x:v>ALZ-RF-014</x:v>
      </x:c>
      <x:c r="K19" s="18" t="str">
        <x:v>ALZ-CU-014</x:v>
      </x:c>
      <x:c r="L19" s="18" t="str">
        <x:v>ALZ-PT-014</x:v>
      </x:c>
      <x:c r="M19" s="18" t="str">
        <x:v>Benjamin Pérez</x:v>
      </x:c>
    </x:row>
    <x:row r="20">
      <x:c r="A20" s="18" t="str">
        <x:v>ALZ-HU-015</x:v>
      </x:c>
      <x:c r="B20" s="18" t="str">
        <x:v>estudiante</x:v>
      </x:c>
      <x:c r="C20" s="18" t="str">
        <x:v>consultar progreso explicable por actividad y concepto</x:v>
      </x:c>
      <x:c r="D20" s="18" t="str">
        <x:v>reconocer avances con reglas verificables</x:v>
      </x:c>
      <x:c r="E20" s="18" t="str">
        <x:v>Consultar progreso</x:v>
      </x:c>
      <x:c r="F20" s="18" t="str">
        <x:v>Alta</x:v>
      </x:c>
      <x:c r="G20" s="18" t="str">
        <x:v>Sprint 6</x:v>
      </x:c>
      <x:c r="H20" s="18" t="str">
        <x:v>Planificado</x:v>
      </x:c>
      <x:c r="I20" s="19" t="n">
        <x:v>8</x:v>
      </x:c>
      <x:c r="J20" s="18" t="str">
        <x:v>ALZ-RF-015</x:v>
      </x:c>
      <x:c r="K20" s="18" t="str">
        <x:v>ALZ-CU-015</x:v>
      </x:c>
      <x:c r="L20" s="18" t="str">
        <x:v>ALZ-PT-015</x:v>
      </x:c>
      <x:c r="M20" s="18" t="str">
        <x:v>Benjamin Pérez</x:v>
      </x:c>
    </x:row>
    <x:row r="21">
      <x:c r="A21" s="18" t="str">
        <x:v>ALZ-HU-016</x:v>
      </x:c>
      <x:c r="B21" s="18" t="str">
        <x:v>profesor</x:v>
      </x:c>
      <x:c r="C21" s="18" t="str">
        <x:v>visualizar actividad, avance, fallas y señales deterministas</x:v>
      </x:c>
      <x:c r="D21" s="18" t="str">
        <x:v>priorizar acompañamiento con evidencia operativa</x:v>
      </x:c>
      <x:c r="E21" s="18" t="str">
        <x:v>Panel docente</x:v>
      </x:c>
      <x:c r="F21" s="18" t="str">
        <x:v>Crítica</x:v>
      </x:c>
      <x:c r="G21" s="18" t="str">
        <x:v>Sprint 6</x:v>
      </x:c>
      <x:c r="H21" s="18" t="str">
        <x:v>Planificado</x:v>
      </x:c>
      <x:c r="I21" s="19" t="n">
        <x:v>13</x:v>
      </x:c>
      <x:c r="J21" s="18" t="str">
        <x:v>ALZ-RF-016</x:v>
      </x:c>
      <x:c r="K21" s="18" t="str">
        <x:v>ALZ-CU-016</x:v>
      </x:c>
      <x:c r="L21" s="18" t="str">
        <x:v>ALZ-PT-016</x:v>
      </x:c>
      <x:c r="M21" s="18" t="str">
        <x:v>Benjamin Pérez</x:v>
      </x:c>
    </x:row>
    <x:row r="22">
      <x:c r="A22" s="18" t="str">
        <x:v>ALZ-HU-017</x:v>
      </x:c>
      <x:c r="B22" s="18" t="str">
        <x:v>profesor</x:v>
      </x:c>
      <x:c r="C22" s="18" t="str">
        <x:v>consultar intentos, resultados y progreso de un estudiante autorizado</x:v>
      </x:c>
      <x:c r="D22" s="18" t="str">
        <x:v>revisar evidencia individual de su clase</x:v>
      </x:c>
      <x:c r="E22" s="18" t="str">
        <x:v>Detalle de estudiante</x:v>
      </x:c>
      <x:c r="F22" s="18" t="str">
        <x:v>Alta</x:v>
      </x:c>
      <x:c r="G22" s="18" t="str">
        <x:v>Sprint 7</x:v>
      </x:c>
      <x:c r="H22" s="18" t="str">
        <x:v>Planificado</x:v>
      </x:c>
      <x:c r="I22" s="19" t="n">
        <x:v>8</x:v>
      </x:c>
      <x:c r="J22" s="18" t="str">
        <x:v>ALZ-RF-017</x:v>
      </x:c>
      <x:c r="K22" s="18" t="str">
        <x:v>ALZ-CU-017</x:v>
      </x:c>
      <x:c r="L22" s="18" t="str">
        <x:v>ALZ-PT-017</x:v>
      </x:c>
      <x:c r="M22" s="18" t="str">
        <x:v>Benjamin Pérez</x:v>
      </x:c>
    </x:row>
    <x:row r="23">
      <x:c r="A23" s="18" t="str">
        <x:v>ALZ-HU-018</x:v>
      </x:c>
      <x:c r="B23" s="18" t="str">
        <x:v>profesor</x:v>
      </x:c>
      <x:c r="C23" s="18" t="str">
        <x:v>recibir señales de inactividad, error repetido o estancamiento</x:v>
      </x:c>
      <x:c r="D23" s="18" t="str">
        <x:v>intervenir con reglas conocidas y explicables</x:v>
      </x:c>
      <x:c r="E23" s="18" t="str">
        <x:v>Señales deterministas</x:v>
      </x:c>
      <x:c r="F23" s="18" t="str">
        <x:v>Alta</x:v>
      </x:c>
      <x:c r="G23" s="18" t="str">
        <x:v>Sprint 6</x:v>
      </x:c>
      <x:c r="H23" s="18" t="str">
        <x:v>Planificado</x:v>
      </x:c>
      <x:c r="I23" s="19" t="n">
        <x:v>8</x:v>
      </x:c>
      <x:c r="J23" s="18" t="str">
        <x:v>ALZ-RF-018</x:v>
      </x:c>
      <x:c r="K23" s="18" t="str">
        <x:v>ALZ-CU-018</x:v>
      </x:c>
      <x:c r="L23" s="18" t="str">
        <x:v>ALZ-PT-018</x:v>
      </x:c>
      <x:c r="M23" s="18" t="str">
        <x:v>Abraham Retamal</x:v>
      </x:c>
    </x:row>
    <x:row r="24">
      <x:c r="A24" s="18" t="str">
        <x:v>ALZ-HU-019</x:v>
      </x:c>
      <x:c r="B24" s="18" t="str">
        <x:v>profesor</x:v>
      </x:c>
      <x:c r="C24" s="18" t="str">
        <x:v>marcar una señal como revisada</x:v>
      </x:c>
      <x:c r="D24" s="18" t="str">
        <x:v>registrar seguimiento sin borrar evidencia</x:v>
      </x:c>
      <x:c r="E24" s="18" t="str">
        <x:v>Revisar señal</x:v>
      </x:c>
      <x:c r="F24" s="18" t="str">
        <x:v>Alta</x:v>
      </x:c>
      <x:c r="G24" s="18" t="str">
        <x:v>Sprint 7</x:v>
      </x:c>
      <x:c r="H24" s="18" t="str">
        <x:v>Planificado</x:v>
      </x:c>
      <x:c r="I24" s="19" t="n">
        <x:v>3</x:v>
      </x:c>
      <x:c r="J24" s="18" t="str">
        <x:v>ALZ-RF-019</x:v>
      </x:c>
      <x:c r="K24" s="18" t="str">
        <x:v>ALZ-CU-019</x:v>
      </x:c>
      <x:c r="L24" s="18" t="str">
        <x:v>ALZ-PT-019</x:v>
      </x:c>
      <x:c r="M24" s="18" t="str">
        <x:v>Benjamin Pérez</x:v>
      </x:c>
    </x:row>
    <x:row r="25">
      <x:c r="A25" s="18" t="str">
        <x:v>ALZ-HU-020</x:v>
      </x:c>
      <x:c r="B25" s="18" t="str">
        <x:v>administrador</x:v>
      </x:c>
      <x:c r="C25" s="18" t="str">
        <x:v>crear, actualizar y archivar organizaciones</x:v>
      </x:c>
      <x:c r="D25" s="18" t="str">
        <x:v>mantener el aislamiento institucional del servicio</x:v>
      </x:c>
      <x:c r="E25" s="18" t="str">
        <x:v>Administrar organizaciones</x:v>
      </x:c>
      <x:c r="F25" s="18" t="str">
        <x:v>Crítica</x:v>
      </x:c>
      <x:c r="G25" s="18" t="str">
        <x:v>Sprint 2</x:v>
      </x:c>
      <x:c r="H25" s="18" t="str">
        <x:v>Planificado</x:v>
      </x:c>
      <x:c r="I25" s="19" t="n">
        <x:v>8</x:v>
      </x:c>
      <x:c r="J25" s="18" t="str">
        <x:v>ALZ-RF-020</x:v>
      </x:c>
      <x:c r="K25" s="18" t="str">
        <x:v>ALZ-CU-020</x:v>
      </x:c>
      <x:c r="L25" s="18" t="str">
        <x:v>ALZ-PT-020</x:v>
      </x:c>
      <x:c r="M25" s="18" t="str">
        <x:v>Benjamin Pérez</x:v>
      </x:c>
    </x:row>
    <x:row r="26">
      <x:c r="A26" s="18" t="str">
        <x:v>ALZ-HU-021</x:v>
      </x:c>
      <x:c r="B26" s="18" t="str">
        <x:v>administrador</x:v>
      </x:c>
      <x:c r="C26" s="18" t="str">
        <x:v>invitar, activar, deshabilitar y asignar roles a usuarios</x:v>
      </x:c>
      <x:c r="D26" s="18" t="str">
        <x:v>controlar el acceso dentro de cada organización</x:v>
      </x:c>
      <x:c r="E26" s="18" t="str">
        <x:v>Administrar usuarios y roles</x:v>
      </x:c>
      <x:c r="F26" s="18" t="str">
        <x:v>Crítica</x:v>
      </x:c>
      <x:c r="G26" s="18" t="str">
        <x:v>Sprint 2</x:v>
      </x:c>
      <x:c r="H26" s="18" t="str">
        <x:v>Planificado</x:v>
      </x:c>
      <x:c r="I26" s="19" t="n">
        <x:v>8</x:v>
      </x:c>
      <x:c r="J26" s="18" t="str">
        <x:v>ALZ-RF-021</x:v>
      </x:c>
      <x:c r="K26" s="18" t="str">
        <x:v>ALZ-CU-021</x:v>
      </x:c>
      <x:c r="L26" s="18" t="str">
        <x:v>ALZ-PT-021</x:v>
      </x:c>
      <x:c r="M26" s="18" t="str">
        <x:v>Marcelo Núñez</x:v>
      </x:c>
    </x:row>
    <x:row r="27">
      <x:c r="A27" s="18" t="str">
        <x:v>ALZ-HU-022</x:v>
      </x:c>
      <x:c r="B27" s="18" t="str">
        <x:v>administrador</x:v>
      </x:c>
      <x:c r="C27" s="18" t="str">
        <x:v>gestionar cursos, clases y asignaciones de profesores</x:v>
      </x:c>
      <x:c r="D27" s="18" t="str">
        <x:v>mantener la estructura académica de la organización</x:v>
      </x:c>
      <x:c r="E27" s="18" t="str">
        <x:v>Gobernar cursos y clases</x:v>
      </x:c>
      <x:c r="F27" s="18" t="str">
        <x:v>Alta</x:v>
      </x:c>
      <x:c r="G27" s="18" t="str">
        <x:v>Sprint 3</x:v>
      </x:c>
      <x:c r="H27" s="18" t="str">
        <x:v>Planificado</x:v>
      </x:c>
      <x:c r="I27" s="19" t="n">
        <x:v>8</x:v>
      </x:c>
      <x:c r="J27" s="18" t="str">
        <x:v>ALZ-RF-022</x:v>
      </x:c>
      <x:c r="K27" s="18" t="str">
        <x:v>ALZ-CU-022</x:v>
      </x:c>
      <x:c r="L27" s="18" t="str">
        <x:v>ALZ-PT-022</x:v>
      </x:c>
      <x:c r="M27" s="18" t="str">
        <x:v>Benjamin Pérez</x:v>
      </x:c>
    </x:row>
    <x:row r="28">
      <x:c r="A28" s="18" t="str">
        <x:v>ALZ-HU-023</x:v>
      </x:c>
      <x:c r="B28" s="18" t="str">
        <x:v>administrador</x:v>
      </x:c>
      <x:c r="C28" s="18" t="str">
        <x:v>administrar la taxonomía de conceptos</x:v>
      </x:c>
      <x:c r="D28" s="18" t="str">
        <x:v>usar vocabulario académico consistente en ejercicios y reportes</x:v>
      </x:c>
      <x:c r="E28" s="18" t="str">
        <x:v>Administrar taxonomía</x:v>
      </x:c>
      <x:c r="F28" s="18" t="str">
        <x:v>Alta</x:v>
      </x:c>
      <x:c r="G28" s="18" t="str">
        <x:v>Sprint 3</x:v>
      </x:c>
      <x:c r="H28" s="18" t="str">
        <x:v>Planificado</x:v>
      </x:c>
      <x:c r="I28" s="19" t="n">
        <x:v>5</x:v>
      </x:c>
      <x:c r="J28" s="18" t="str">
        <x:v>ALZ-RF-023</x:v>
      </x:c>
      <x:c r="K28" s="18" t="str">
        <x:v>ALZ-CU-023</x:v>
      </x:c>
      <x:c r="L28" s="18" t="str">
        <x:v>ALZ-PT-023</x:v>
      </x:c>
      <x:c r="M28" s="18" t="str">
        <x:v>Marcelo Núñez</x:v>
      </x:c>
    </x:row>
    <x:row r="29">
      <x:c r="A29" s="18" t="str">
        <x:v>ALZ-HU-024</x:v>
      </x:c>
      <x:c r="B29" s="18" t="str">
        <x:v>administrador</x:v>
      </x:c>
      <x:c r="C29" s="18" t="str">
        <x:v>gobernar el banco reutilizable de ejercicios</x:v>
      </x:c>
      <x:c r="D29" s="18" t="str">
        <x:v>controlar propiedad, versión, visibilidad y archivado</x:v>
      </x:c>
      <x:c r="E29" s="18" t="str">
        <x:v>Gobernar banco de ejercicios</x:v>
      </x:c>
      <x:c r="F29" s="18" t="str">
        <x:v>Alta</x:v>
      </x:c>
      <x:c r="G29" s="18" t="str">
        <x:v>Sprint 7</x:v>
      </x:c>
      <x:c r="H29" s="18" t="str">
        <x:v>Planificado</x:v>
      </x:c>
      <x:c r="I29" s="19" t="n">
        <x:v>5</x:v>
      </x:c>
      <x:c r="J29" s="18" t="str">
        <x:v>ALZ-RF-024</x:v>
      </x:c>
      <x:c r="K29" s="18" t="str">
        <x:v>ALZ-CU-024</x:v>
      </x:c>
      <x:c r="L29" s="18" t="str">
        <x:v>ALZ-PT-024</x:v>
      </x:c>
      <x:c r="M29" s="18" t="str">
        <x:v>Marcelo Núñez</x:v>
      </x:c>
    </x:row>
    <x:row r="30">
      <x:c r="A30" s="18" t="str">
        <x:v>ALZ-HU-025</x:v>
      </x:c>
      <x:c r="B30" s="18" t="str">
        <x:v>administrador</x:v>
      </x:c>
      <x:c r="C30" s="18" t="str">
        <x:v>gobernar materiales RAG, visibilidad e indexación</x:v>
      </x:c>
      <x:c r="D30" s="18" t="str">
        <x:v>asegurar fuentes autorizadas y aisladas por clase</x:v>
      </x:c>
      <x:c r="E30" s="18" t="str">
        <x:v>Gobernar materiales RAG</x:v>
      </x:c>
      <x:c r="F30" s="18" t="str">
        <x:v>Crítica</x:v>
      </x:c>
      <x:c r="G30" s="18" t="str">
        <x:v>Sprint 5</x:v>
      </x:c>
      <x:c r="H30" s="18" t="str">
        <x:v>Planificado</x:v>
      </x:c>
      <x:c r="I30" s="19" t="n">
        <x:v>5</x:v>
      </x:c>
      <x:c r="J30" s="18" t="str">
        <x:v>ALZ-RF-025</x:v>
      </x:c>
      <x:c r="K30" s="18" t="str">
        <x:v>ALZ-CU-025</x:v>
      </x:c>
      <x:c r="L30" s="18" t="str">
        <x:v>ALZ-PT-025</x:v>
      </x:c>
      <x:c r="M30" s="18" t="str">
        <x:v>Abraham Retamal</x:v>
      </x:c>
    </x:row>
    <x:row r="31">
      <x:c r="A31" s="18" t="str">
        <x:v>ALZ-HU-026</x:v>
      </x:c>
      <x:c r="B31" s="18" t="str">
        <x:v>administrador</x:v>
      </x:c>
      <x:c r="C31" s="18" t="str">
        <x:v>configurar y versionar reglas de señales</x:v>
      </x:c>
      <x:c r="D31" s="18" t="str">
        <x:v>mantener umbrales deterministas y trazables</x:v>
      </x:c>
      <x:c r="E31" s="18" t="str">
        <x:v>Versionar reglas de señales</x:v>
      </x:c>
      <x:c r="F31" s="18" t="str">
        <x:v>Alta</x:v>
      </x:c>
      <x:c r="G31" s="18" t="str">
        <x:v>Sprint 6</x:v>
      </x:c>
      <x:c r="H31" s="18" t="str">
        <x:v>Planificado</x:v>
      </x:c>
      <x:c r="I31" s="19" t="n">
        <x:v>5</x:v>
      </x:c>
      <x:c r="J31" s="18" t="str">
        <x:v>ALZ-RF-026</x:v>
      </x:c>
      <x:c r="K31" s="18" t="str">
        <x:v>ALZ-CU-026</x:v>
      </x:c>
      <x:c r="L31" s="18" t="str">
        <x:v>ALZ-PT-026</x:v>
      </x:c>
      <x:c r="M31" s="18" t="str">
        <x:v>Abraham Retamal</x:v>
      </x:c>
    </x:row>
    <x:row r="32">
      <x:c r="A32" s="18" t="str">
        <x:v>ALZ-HU-027</x:v>
      </x:c>
      <x:c r="B32" s="18" t="str">
        <x:v>administrador</x:v>
      </x:c>
      <x:c r="C32" s="18" t="str">
        <x:v>consultar auditoría y exportar registros operativos</x:v>
      </x:c>
      <x:c r="D32" s="18" t="str">
        <x:v>revisar acciones relevantes con trazabilidad verificable</x:v>
      </x:c>
      <x:c r="E32" s="18" t="str">
        <x:v>Auditoría y exportación</x:v>
      </x:c>
      <x:c r="F32" s="18" t="str">
        <x:v>Alta</x:v>
      </x:c>
      <x:c r="G32" s="18" t="str">
        <x:v>Sprint 7</x:v>
      </x:c>
      <x:c r="H32" s="18" t="str">
        <x:v>Planificado</x:v>
      </x:c>
      <x:c r="I32" s="19" t="n">
        <x:v>5</x:v>
      </x:c>
      <x:c r="J32" s="18" t="str">
        <x:v>ALZ-RF-027</x:v>
      </x:c>
      <x:c r="K32" s="18" t="str">
        <x:v>ALZ-CU-027</x:v>
      </x:c>
      <x:c r="L32" s="18" t="str">
        <x:v>ALZ-PT-027</x:v>
      </x:c>
      <x:c r="M32" s="18" t="str">
        <x:v>Abraham Retamal</x:v>
      </x:c>
    </x:row>
    <x:row r="34" ht="32" customHeight="1">
      <x:c r="A34" s="23" t="str">
        <x:v>Trazabilidad uno a uno: cada HU posee RF, CU y prueba asociada con el mismo correlativo. En semana 4, la ejecución de pruebas y sus evidencias permanecen planificadas.</x:v>
      </x:c>
      <x:c r="B34" s="23" t="str">
        <x:v>Trazabilidad uno a uno: cada HU posee RF, CU y prueba asociada con el mismo correlativo. En semana 4, la ejecución de pruebas y sus evidencias permanecen planificadas.</x:v>
      </x:c>
      <x:c r="C34" s="23" t="str">
        <x:v>Trazabilidad uno a uno: cada HU posee RF, CU y prueba asociada con el mismo correlativo. En semana 4, la ejecución de pruebas y sus evidencias permanecen planificadas.</x:v>
      </x:c>
      <x:c r="D34" s="23" t="str">
        <x:v>Trazabilidad uno a uno: cada HU posee RF, CU y prueba asociada con el mismo correlativo. En semana 4, la ejecución de pruebas y sus evidencias permanecen planificadas.</x:v>
      </x:c>
      <x:c r="E34" s="23" t="str">
        <x:v>Trazabilidad uno a uno: cada HU posee RF, CU y prueba asociada con el mismo correlativo. En semana 4, la ejecución de pruebas y sus evidencias permanecen planificadas.</x:v>
      </x:c>
      <x:c r="F34" s="23" t="str">
        <x:v>Trazabilidad uno a uno: cada HU posee RF, CU y prueba asociada con el mismo correlativo. En semana 4, la ejecución de pruebas y sus evidencias permanecen planificadas.</x:v>
      </x:c>
      <x:c r="G34" s="23" t="str">
        <x:v>Trazabilidad uno a uno: cada HU posee RF, CU y prueba asociada con el mismo correlativo. En semana 4, la ejecución de pruebas y sus evidencias permanecen planificadas.</x:v>
      </x:c>
      <x:c r="H34" s="23" t="str">
        <x:v>Trazabilidad uno a uno: cada HU posee RF, CU y prueba asociada con el mismo correlativo. En semana 4, la ejecución de pruebas y sus evidencias permanecen planificadas.</x:v>
      </x:c>
      <x:c r="I34" s="23" t="str">
        <x:v>Trazabilidad uno a uno: cada HU posee RF, CU y prueba asociada con el mismo correlativo. En semana 4, la ejecución de pruebas y sus evidencias permanecen planificadas.</x:v>
      </x:c>
      <x:c r="J34" s="23" t="str">
        <x:v>Trazabilidad uno a uno: cada HU posee RF, CU y prueba asociada con el mismo correlativo. En semana 4, la ejecución de pruebas y sus evidencias permanecen planificadas.</x:v>
      </x:c>
      <x:c r="K34" s="23" t="str">
        <x:v>Trazabilidad uno a uno: cada HU posee RF, CU y prueba asociada con el mismo correlativo. En semana 4, la ejecución de pruebas y sus evidencias permanecen planificadas.</x:v>
      </x:c>
      <x:c r="L34" s="23" t="str">
        <x:v>Trazabilidad uno a uno: cada HU posee RF, CU y prueba asociada con el mismo correlativo. En semana 4, la ejecución de pruebas y sus evidencias permanecen planificadas.</x:v>
      </x:c>
      <x:c r="M34" s="23" t="str">
        <x:v>Trazabilidad uno a uno: cada HU posee RF, CU y prueba asociada con el mismo correlativo. En semana 4, la ejecución de pruebas y sus evidencias permanecen planificadas.</x:v>
      </x:c>
    </x:row>
    <x:row r="35" ht="32" customHeight="1">
      <x:c r="A35" s="23" t="str">
        <x:v>Trazabilidad uno a uno: cada HU posee RF, CU y prueba asociada con el mismo correlativo. En semana 4, la ejecución de pruebas y sus evidencias permanecen planificadas.</x:v>
      </x:c>
      <x:c r="B35" s="23" t="str">
        <x:v>Trazabilidad uno a uno: cada HU posee RF, CU y prueba asociada con el mismo correlativo. En semana 4, la ejecución de pruebas y sus evidencias permanecen planificadas.</x:v>
      </x:c>
      <x:c r="C35" s="23" t="str">
        <x:v>Trazabilidad uno a uno: cada HU posee RF, CU y prueba asociada con el mismo correlativo. En semana 4, la ejecución de pruebas y sus evidencias permanecen planificadas.</x:v>
      </x:c>
      <x:c r="D35" s="23" t="str">
        <x:v>Trazabilidad uno a uno: cada HU posee RF, CU y prueba asociada con el mismo correlativo. En semana 4, la ejecución de pruebas y sus evidencias permanecen planificadas.</x:v>
      </x:c>
      <x:c r="E35" s="23" t="str">
        <x:v>Trazabilidad uno a uno: cada HU posee RF, CU y prueba asociada con el mismo correlativo. En semana 4, la ejecución de pruebas y sus evidencias permanecen planificadas.</x:v>
      </x:c>
      <x:c r="F35" s="23" t="str">
        <x:v>Trazabilidad uno a uno: cada HU posee RF, CU y prueba asociada con el mismo correlativo. En semana 4, la ejecución de pruebas y sus evidencias permanecen planificadas.</x:v>
      </x:c>
      <x:c r="G35" s="23" t="str">
        <x:v>Trazabilidad uno a uno: cada HU posee RF, CU y prueba asociada con el mismo correlativo. En semana 4, la ejecución de pruebas y sus evidencias permanecen planificadas.</x:v>
      </x:c>
      <x:c r="H35" s="23" t="str">
        <x:v>Trazabilidad uno a uno: cada HU posee RF, CU y prueba asociada con el mismo correlativo. En semana 4, la ejecución de pruebas y sus evidencias permanecen planificadas.</x:v>
      </x:c>
      <x:c r="I35" s="23" t="str">
        <x:v>Trazabilidad uno a uno: cada HU posee RF, CU y prueba asociada con el mismo correlativo. En semana 4, la ejecución de pruebas y sus evidencias permanecen planificadas.</x:v>
      </x:c>
      <x:c r="J35" s="23" t="str">
        <x:v>Trazabilidad uno a uno: cada HU posee RF, CU y prueba asociada con el mismo correlativo. En semana 4, la ejecución de pruebas y sus evidencias permanecen planificadas.</x:v>
      </x:c>
      <x:c r="K35" s="23" t="str">
        <x:v>Trazabilidad uno a uno: cada HU posee RF, CU y prueba asociada con el mismo correlativo. En semana 4, la ejecución de pruebas y sus evidencias permanecen planificadas.</x:v>
      </x:c>
      <x:c r="L35" s="23" t="str">
        <x:v>Trazabilidad uno a uno: cada HU posee RF, CU y prueba asociada con el mismo correlativo. En semana 4, la ejecución de pruebas y sus evidencias permanecen planificadas.</x:v>
      </x:c>
      <x:c r="M35" s="23" t="str">
        <x:v>Trazabilidad uno a uno: cada HU posee RF, CU y prueba asociada con el mismo correlativo. En semana 4, la ejecución de pruebas y sus evidencias permanecen planificadas.</x:v>
      </x:c>
    </x:row>
  </x:sheetData>
  <x:mergeCells>
    <x:mergeCell ref="A1:M1"/>
    <x:mergeCell ref="A2:M2"/>
    <x:mergeCell ref="A34:M35"/>
  </x:mergeCells>
  <x:conditionalFormatting sqref="F6:F32">
    <x:cfRule type="containsText" dxfId="0" priority="1" operator="containsText" text="Crítica"/>
    <x:cfRule type="containsText" dxfId="1" priority="2" operator="containsText" text="Alta"/>
  </x:conditionalFormatting>
  <x:conditionalFormatting sqref="H6:H32">
    <x:cfRule type="containsText" dxfId="2" priority="3" operator="containsText" text="Planificado"/>
  </x:conditionalFormatting>
  <x:dataValidations count="4">
    <x:dataValidation type="list" sqref="F6:F32">
      <x:formula1>"Crítica,Alta,Media,Baja"</x:formula1>
    </x:dataValidation>
    <x:dataValidation type="list" sqref="G6:G32">
      <x:formula1>"Sprint 2,Sprint 3,Sprint 4,Sprint 5,Sprint 6,Sprint 7,Sprint 8"</x:formula1>
    </x:dataValidation>
    <x:dataValidation type="list" sqref="H6:H32">
      <x:formula1>"Redactado,Revisado,Aprobado internamente,Planificado,Implementado,Probado,Evidenciado"</x:formula1>
    </x:dataValidation>
    <x:dataValidation type="list" sqref="M6:M32">
      <x:formula1>"Marcelo Núñez,Abraham Retamal,Benjamin Pérez"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94a88c2e0f42c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9" hidden="0" customWidth="1"/>
    <x:col min="3" max="3" width="7" hidden="0" customWidth="1"/>
    <x:col min="4" max="4" width="24" hidden="0" customWidth="1"/>
    <x:col min="5" max="5" width="42" hidden="0" customWidth="1"/>
    <x:col min="6" max="6" width="36" hidden="0" customWidth="1"/>
    <x:col min="7" max="7" width="48" hidden="0" customWidth="1"/>
    <x:col min="8" max="8" width="16" hidden="0" customWidth="1"/>
  </x:cols>
  <x:sheetData>
    <x:row r="1" ht="30" customHeight="1">
      <x:c r="A1" s="7" t="str">
        <x:v>Alunza — 108 escenarios de aceptación</x:v>
      </x:c>
      <x:c r="B1" s="7"/>
      <x:c r="C1" s="7"/>
      <x:c r="D1" s="7"/>
      <x:c r="E1" s="7"/>
      <x:c r="F1" s="7"/>
      <x:c r="G1" s="7"/>
      <x:c r="H1" s="7"/>
    </x:row>
    <x:row r="2" ht="24" customHeight="1">
      <x:c r="A2" s="8" t="str">
        <x:v>Cuatro escenarios por historia · lenguaje verificable · prueba asociada planificada</x:v>
      </x:c>
      <x:c r="B2" s="8"/>
      <x:c r="C2" s="8"/>
      <x:c r="D2" s="8"/>
      <x:c r="E2" s="8"/>
      <x:c r="F2" s="8"/>
      <x:c r="G2" s="8"/>
      <x:c r="H2" s="8"/>
    </x:row>
    <x:row r="5" ht="34" customHeight="1">
      <x:c r="A5" s="14" t="str">
        <x:v>ID HU</x:v>
      </x:c>
      <x:c r="B5" s="14" t="str">
        <x:v>ID escenario</x:v>
      </x:c>
      <x:c r="C5" s="14" t="str">
        <x:v>N.º</x:v>
      </x:c>
      <x:c r="D5" s="14" t="str">
        <x:v>Título</x:v>
      </x:c>
      <x:c r="E5" s="14" t="str">
        <x:v>Contexto (Dado)</x:v>
      </x:c>
      <x:c r="F5" s="14" t="str">
        <x:v>Evento (Cuando)</x:v>
      </x:c>
      <x:c r="G5" s="14" t="str">
        <x:v>Resultado esperado (Entonces)</x:v>
      </x:c>
      <x:c r="H5" s="14" t="str">
        <x:v>Prueba</x:v>
      </x:c>
    </x:row>
    <x:row r="6">
      <x:c r="A6" s="18" t="str">
        <x:v>ALZ-HU-001</x:v>
      </x:c>
      <x:c r="B6" s="18" t="str">
        <x:v>ALZ-HU-001-E1</x:v>
      </x:c>
      <x:c r="C6" s="19" t="n">
        <x:v>1</x:v>
      </x:c>
      <x:c r="D6" s="18" t="str">
        <x:v>Flujo autorizado</x:v>
      </x:c>
      <x:c r="E6" s="18" t="str">
        <x:v>La persona actúa como usuario autorizado (administrador, profesor o estudiante), posee sesión válida y opera dentro de su organización.</x:v>
      </x:c>
      <x:c r="F6" s="18" t="str">
        <x:v>Solicita la operación «Autenticación y sesión».</x:v>
      </x:c>
      <x:c r="G6" s="18" t="str">
        <x:v>El sistema completa «Autenticación y sesión», entrega el resultado esperado y conserva la trazabilidad necesaria.</x:v>
      </x:c>
      <x:c r="H6" s="18" t="str">
        <x:v>ALZ-PT-001</x:v>
      </x:c>
    </x:row>
    <x:row r="7">
      <x:c r="A7" s="18" t="str">
        <x:v>ALZ-HU-001</x:v>
      </x:c>
      <x:c r="B7" s="18" t="str">
        <x:v>ALZ-HU-001-E2</x:v>
      </x:c>
      <x:c r="C7" s="19" t="n">
        <x:v>2</x:v>
      </x:c>
      <x:c r="D7" s="18" t="str">
        <x:v>Datos inválidos o incompletos</x:v>
      </x:c>
      <x:c r="E7" s="18" t="str">
        <x:v>Falta un dato obligatorio o un valor no cumple el contrato definido.</x:v>
      </x:c>
      <x:c r="F7" s="18" t="str">
        <x:v>La persona intenta ejecutar la operación «Autenticación y sesión».</x:v>
      </x:c>
      <x:c r="G7" s="18" t="str">
        <x:v>El sistema rechaza la solicitud, identifica los campos corregibles y no altera el estado previo.</x:v>
      </x:c>
      <x:c r="H7" s="18" t="str">
        <x:v>ALZ-PT-001</x:v>
      </x:c>
    </x:row>
    <x:row r="8">
      <x:c r="A8" s="18" t="str">
        <x:v>ALZ-HU-001</x:v>
      </x:c>
      <x:c r="B8" s="18" t="str">
        <x:v>ALZ-HU-001-E3</x:v>
      </x:c>
      <x:c r="C8" s="19" t="n">
        <x:v>3</x:v>
      </x:c>
      <x:c r="D8" s="18" t="str">
        <x:v>Permiso o aislamiento insuficiente</x:v>
      </x:c>
      <x:c r="E8" s="18" t="str">
        <x:v>La sesión no posee el rol requerido o el recurso pertenece a otra organización.</x:v>
      </x:c>
      <x:c r="F8" s="18" t="str">
        <x:v>La persona intenta ejecutar la operación «Autenticación y sesión».</x:v>
      </x:c>
      <x:c r="G8" s="18" t="str">
        <x:v>El sistema deniega la operación sin exponer datos ajenos y registra el evento de seguridad cuando corresponde.</x:v>
      </x:c>
      <x:c r="H8" s="18" t="str">
        <x:v>ALZ-PT-001</x:v>
      </x:c>
    </x:row>
    <x:row r="9">
      <x:c r="A9" s="18" t="str">
        <x:v>ALZ-HU-001</x:v>
      </x:c>
      <x:c r="B9" s="18" t="str">
        <x:v>ALZ-HU-001-E4</x:v>
      </x:c>
      <x:c r="C9" s="19" t="n">
        <x:v>4</x:v>
      </x:c>
      <x:c r="D9" s="18" t="str">
        <x:v>Cuenta deshabilitada</x:v>
      </x:c>
      <x:c r="E9" s="18" t="str">
        <x:v>La cuenta existe con estado DISABLED.</x:v>
      </x:c>
      <x:c r="F9" s="18" t="str">
        <x:v>El usuario intenta iniciar sesión.</x:v>
      </x:c>
      <x:c r="G9" s="18" t="str">
        <x:v>El acceso se rechaza sin revelar datos y se conserva un registro de seguridad.</x:v>
      </x:c>
      <x:c r="H9" s="18" t="str">
        <x:v>ALZ-PT-001</x:v>
      </x:c>
    </x:row>
    <x:row r="10">
      <x:c r="A10" s="18" t="str">
        <x:v>ALZ-HU-002</x:v>
      </x:c>
      <x:c r="B10" s="18" t="str">
        <x:v>ALZ-HU-002-E1</x:v>
      </x:c>
      <x:c r="C10" s="19" t="n">
        <x:v>1</x:v>
      </x:c>
      <x:c r="D10" s="18" t="str">
        <x:v>Flujo autorizado</x:v>
      </x:c>
      <x:c r="E10" s="18" t="str">
        <x:v>La persona actúa como profesor, posee sesión válida y opera dentro de su organización.</x:v>
      </x:c>
      <x:c r="F10" s="18" t="str">
        <x:v>Solicita la operación «Configurar clase».</x:v>
      </x:c>
      <x:c r="G10" s="18" t="str">
        <x:v>El sistema completa «Configurar clase», entrega el resultado esperado y conserva la trazabilidad necesaria.</x:v>
      </x:c>
      <x:c r="H10" s="18" t="str">
        <x:v>ALZ-PT-002</x:v>
      </x:c>
    </x:row>
    <x:row r="11">
      <x:c r="A11" s="18" t="str">
        <x:v>ALZ-HU-002</x:v>
      </x:c>
      <x:c r="B11" s="18" t="str">
        <x:v>ALZ-HU-002-E2</x:v>
      </x:c>
      <x:c r="C11" s="19" t="n">
        <x:v>2</x:v>
      </x:c>
      <x:c r="D11" s="18" t="str">
        <x:v>Datos inválidos o incompletos</x:v>
      </x:c>
      <x:c r="E11" s="18" t="str">
        <x:v>Falta un dato obligatorio o un valor no cumple el contrato definido.</x:v>
      </x:c>
      <x:c r="F11" s="18" t="str">
        <x:v>La persona intenta ejecutar la operación «Configurar clase».</x:v>
      </x:c>
      <x:c r="G11" s="18" t="str">
        <x:v>El sistema rechaza la solicitud, identifica los campos corregibles y no altera el estado previo.</x:v>
      </x:c>
      <x:c r="H11" s="18" t="str">
        <x:v>ALZ-PT-002</x:v>
      </x:c>
    </x:row>
    <x:row r="12">
      <x:c r="A12" s="18" t="str">
        <x:v>ALZ-HU-002</x:v>
      </x:c>
      <x:c r="B12" s="18" t="str">
        <x:v>ALZ-HU-002-E3</x:v>
      </x:c>
      <x:c r="C12" s="19" t="n">
        <x:v>3</x:v>
      </x:c>
      <x:c r="D12" s="18" t="str">
        <x:v>Permiso o aislamiento insuficiente</x:v>
      </x:c>
      <x:c r="E12" s="18" t="str">
        <x:v>La sesión no posee el rol requerido o el recurso pertenece a otra organización.</x:v>
      </x:c>
      <x:c r="F12" s="18" t="str">
        <x:v>La persona intenta ejecutar la operación «Configurar clase».</x:v>
      </x:c>
      <x:c r="G12" s="18" t="str">
        <x:v>El sistema deniega la operación sin exponer datos ajenos y registra el evento de seguridad cuando corresponde.</x:v>
      </x:c>
      <x:c r="H12" s="18" t="str">
        <x:v>ALZ-PT-002</x:v>
      </x:c>
    </x:row>
    <x:row r="13">
      <x:c r="A13" s="18" t="str">
        <x:v>ALZ-HU-002</x:v>
      </x:c>
      <x:c r="B13" s="18" t="str">
        <x:v>ALZ-HU-002-E4</x:v>
      </x:c>
      <x:c r="C13" s="19" t="n">
        <x:v>4</x:v>
      </x:c>
      <x:c r="D13" s="18" t="str">
        <x:v>Clase archivada</x:v>
      </x:c>
      <x:c r="E13" s="18" t="str">
        <x:v>La clase posee dependencias y fue archivada.</x:v>
      </x:c>
      <x:c r="F13" s="18" t="str">
        <x:v>El profesor intenta modificarla.</x:v>
      </x:c>
      <x:c r="G13" s="18" t="str">
        <x:v>El sistema impide cambios operativos y conserva su historial.</x:v>
      </x:c>
      <x:c r="H13" s="18" t="str">
        <x:v>ALZ-PT-002</x:v>
      </x:c>
    </x:row>
    <x:row r="14">
      <x:c r="A14" s="18" t="str">
        <x:v>ALZ-HU-003</x:v>
      </x:c>
      <x:c r="B14" s="18" t="str">
        <x:v>ALZ-HU-003-E1</x:v>
      </x:c>
      <x:c r="C14" s="19" t="n">
        <x:v>1</x:v>
      </x:c>
      <x:c r="D14" s="18" t="str">
        <x:v>Flujo autorizado</x:v>
      </x:c>
      <x:c r="E14" s="18" t="str">
        <x:v>La persona actúa como estudiante, posee sesión válida y opera dentro de su organización.</x:v>
      </x:c>
      <x:c r="F14" s="18" t="str">
        <x:v>Solicita la operación «Inscripción con código».</x:v>
      </x:c>
      <x:c r="G14" s="18" t="str">
        <x:v>El sistema completa «Inscripción con código», entrega el resultado esperado y conserva la trazabilidad necesaria.</x:v>
      </x:c>
      <x:c r="H14" s="18" t="str">
        <x:v>ALZ-PT-003</x:v>
      </x:c>
    </x:row>
    <x:row r="15">
      <x:c r="A15" s="18" t="str">
        <x:v>ALZ-HU-003</x:v>
      </x:c>
      <x:c r="B15" s="18" t="str">
        <x:v>ALZ-HU-003-E2</x:v>
      </x:c>
      <x:c r="C15" s="19" t="n">
        <x:v>2</x:v>
      </x:c>
      <x:c r="D15" s="18" t="str">
        <x:v>Datos inválidos o incompletos</x:v>
      </x:c>
      <x:c r="E15" s="18" t="str">
        <x:v>Falta un dato obligatorio o un valor no cumple el contrato definido.</x:v>
      </x:c>
      <x:c r="F15" s="18" t="str">
        <x:v>La persona intenta ejecutar la operación «Inscripción con código».</x:v>
      </x:c>
      <x:c r="G15" s="18" t="str">
        <x:v>El sistema rechaza la solicitud, identifica los campos corregibles y no altera el estado previo.</x:v>
      </x:c>
      <x:c r="H15" s="18" t="str">
        <x:v>ALZ-PT-003</x:v>
      </x:c>
    </x:row>
    <x:row r="16">
      <x:c r="A16" s="18" t="str">
        <x:v>ALZ-HU-003</x:v>
      </x:c>
      <x:c r="B16" s="18" t="str">
        <x:v>ALZ-HU-003-E3</x:v>
      </x:c>
      <x:c r="C16" s="19" t="n">
        <x:v>3</x:v>
      </x:c>
      <x:c r="D16" s="18" t="str">
        <x:v>Permiso o aislamiento insuficiente</x:v>
      </x:c>
      <x:c r="E16" s="18" t="str">
        <x:v>La sesión no posee el rol requerido o el recurso pertenece a otra organización.</x:v>
      </x:c>
      <x:c r="F16" s="18" t="str">
        <x:v>La persona intenta ejecutar la operación «Inscripción con código».</x:v>
      </x:c>
      <x:c r="G16" s="18" t="str">
        <x:v>El sistema deniega la operación sin exponer datos ajenos y registra el evento de seguridad cuando corresponde.</x:v>
      </x:c>
      <x:c r="H16" s="18" t="str">
        <x:v>ALZ-PT-003</x:v>
      </x:c>
    </x:row>
    <x:row r="17">
      <x:c r="A17" s="18" t="str">
        <x:v>ALZ-HU-003</x:v>
      </x:c>
      <x:c r="B17" s="18" t="str">
        <x:v>ALZ-HU-003-E4</x:v>
      </x:c>
      <x:c r="C17" s="19" t="n">
        <x:v>4</x:v>
      </x:c>
      <x:c r="D17" s="18" t="str">
        <x:v>Código vencido o reutilizado</x:v>
      </x:c>
      <x:c r="E17" s="18" t="str">
        <x:v>El código no está vigente o la inscripción ya existe.</x:v>
      </x:c>
      <x:c r="F17" s="18" t="str">
        <x:v>El estudiante confirma el código.</x:v>
      </x:c>
      <x:c r="G17" s="18" t="str">
        <x:v>El sistema no duplica la membresía e informa la causa verificable.</x:v>
      </x:c>
      <x:c r="H17" s="18" t="str">
        <x:v>ALZ-PT-003</x:v>
      </x:c>
    </x:row>
    <x:row r="18">
      <x:c r="A18" s="18" t="str">
        <x:v>ALZ-HU-004</x:v>
      </x:c>
      <x:c r="B18" s="18" t="str">
        <x:v>ALZ-HU-004-E1</x:v>
      </x:c>
      <x:c r="C18" s="19" t="n">
        <x:v>1</x:v>
      </x:c>
      <x:c r="D18" s="18" t="str">
        <x:v>Flujo autorizado</x:v>
      </x:c>
      <x:c r="E18" s="18" t="str">
        <x:v>La persona actúa como profesor, posee sesión válida y opera dentro de su organización.</x:v>
      </x:c>
      <x:c r="F18" s="18" t="str">
        <x:v>Solicita la operación «Crear ejercicios».</x:v>
      </x:c>
      <x:c r="G18" s="18" t="str">
        <x:v>El sistema completa «Crear ejercicios», entrega el resultado esperado y conserva la trazabilidad necesaria.</x:v>
      </x:c>
      <x:c r="H18" s="18" t="str">
        <x:v>ALZ-PT-004</x:v>
      </x:c>
    </x:row>
    <x:row r="19">
      <x:c r="A19" s="18" t="str">
        <x:v>ALZ-HU-004</x:v>
      </x:c>
      <x:c r="B19" s="18" t="str">
        <x:v>ALZ-HU-004-E2</x:v>
      </x:c>
      <x:c r="C19" s="19" t="n">
        <x:v>2</x:v>
      </x:c>
      <x:c r="D19" s="18" t="str">
        <x:v>Datos inválidos o incompletos</x:v>
      </x:c>
      <x:c r="E19" s="18" t="str">
        <x:v>Falta un dato obligatorio o un valor no cumple el contrato definido.</x:v>
      </x:c>
      <x:c r="F19" s="18" t="str">
        <x:v>La persona intenta ejecutar la operación «Crear ejercicios».</x:v>
      </x:c>
      <x:c r="G19" s="18" t="str">
        <x:v>El sistema rechaza la solicitud, identifica los campos corregibles y no altera el estado previo.</x:v>
      </x:c>
      <x:c r="H19" s="18" t="str">
        <x:v>ALZ-PT-004</x:v>
      </x:c>
    </x:row>
    <x:row r="20">
      <x:c r="A20" s="18" t="str">
        <x:v>ALZ-HU-004</x:v>
      </x:c>
      <x:c r="B20" s="18" t="str">
        <x:v>ALZ-HU-004-E3</x:v>
      </x:c>
      <x:c r="C20" s="19" t="n">
        <x:v>3</x:v>
      </x:c>
      <x:c r="D20" s="18" t="str">
        <x:v>Permiso o aislamiento insuficiente</x:v>
      </x:c>
      <x:c r="E20" s="18" t="str">
        <x:v>La sesión no posee el rol requerido o el recurso pertenece a otra organización.</x:v>
      </x:c>
      <x:c r="F20" s="18" t="str">
        <x:v>La persona intenta ejecutar la operación «Crear ejercicios».</x:v>
      </x:c>
      <x:c r="G20" s="18" t="str">
        <x:v>El sistema deniega la operación sin exponer datos ajenos y registra el evento de seguridad cuando corresponde.</x:v>
      </x:c>
      <x:c r="H20" s="18" t="str">
        <x:v>ALZ-PT-004</x:v>
      </x:c>
    </x:row>
    <x:row r="21">
      <x:c r="A21" s="18" t="str">
        <x:v>ALZ-HU-004</x:v>
      </x:c>
      <x:c r="B21" s="18" t="str">
        <x:v>ALZ-HU-004-E4</x:v>
      </x:c>
      <x:c r="C21" s="19" t="n">
        <x:v>4</x:v>
      </x:c>
      <x:c r="D21" s="18" t="str">
        <x:v>Pruebas ocultas</x:v>
      </x:c>
      <x:c r="E21" s="18" t="str">
        <x:v>El ejercicio contiene casos visibles y ocultos.</x:v>
      </x:c>
      <x:c r="F21" s="18" t="str">
        <x:v>El profesor lo publica.</x:v>
      </x:c>
      <x:c r="G21" s="18" t="str">
        <x:v>Se valida su coherencia y los detalles ocultos quedan protegidos.</x:v>
      </x:c>
      <x:c r="H21" s="18" t="str">
        <x:v>ALZ-PT-004</x:v>
      </x:c>
    </x:row>
    <x:row r="22">
      <x:c r="A22" s="18" t="str">
        <x:v>ALZ-HU-005</x:v>
      </x:c>
      <x:c r="B22" s="18" t="str">
        <x:v>ALZ-HU-005-E1</x:v>
      </x:c>
      <x:c r="C22" s="19" t="n">
        <x:v>1</x:v>
      </x:c>
      <x:c r="D22" s="18" t="str">
        <x:v>Flujo autorizado</x:v>
      </x:c>
      <x:c r="E22" s="18" t="str">
        <x:v>La persona actúa como profesor, posee sesión válida y opera dentro de su organización.</x:v>
      </x:c>
      <x:c r="F22" s="18" t="str">
        <x:v>Solicita la operación «Publicar actividad».</x:v>
      </x:c>
      <x:c r="G22" s="18" t="str">
        <x:v>El sistema completa «Publicar actividad», entrega el resultado esperado y conserva la trazabilidad necesaria.</x:v>
      </x:c>
      <x:c r="H22" s="18" t="str">
        <x:v>ALZ-PT-005</x:v>
      </x:c>
    </x:row>
    <x:row r="23">
      <x:c r="A23" s="18" t="str">
        <x:v>ALZ-HU-005</x:v>
      </x:c>
      <x:c r="B23" s="18" t="str">
        <x:v>ALZ-HU-005-E2</x:v>
      </x:c>
      <x:c r="C23" s="19" t="n">
        <x:v>2</x:v>
      </x:c>
      <x:c r="D23" s="18" t="str">
        <x:v>Datos inválidos o incompletos</x:v>
      </x:c>
      <x:c r="E23" s="18" t="str">
        <x:v>Falta un dato obligatorio o un valor no cumple el contrato definido.</x:v>
      </x:c>
      <x:c r="F23" s="18" t="str">
        <x:v>La persona intenta ejecutar la operación «Publicar actividad».</x:v>
      </x:c>
      <x:c r="G23" s="18" t="str">
        <x:v>El sistema rechaza la solicitud, identifica los campos corregibles y no altera el estado previo.</x:v>
      </x:c>
      <x:c r="H23" s="18" t="str">
        <x:v>ALZ-PT-005</x:v>
      </x:c>
    </x:row>
    <x:row r="24">
      <x:c r="A24" s="18" t="str">
        <x:v>ALZ-HU-005</x:v>
      </x:c>
      <x:c r="B24" s="18" t="str">
        <x:v>ALZ-HU-005-E3</x:v>
      </x:c>
      <x:c r="C24" s="19" t="n">
        <x:v>3</x:v>
      </x:c>
      <x:c r="D24" s="18" t="str">
        <x:v>Permiso o aislamiento insuficiente</x:v>
      </x:c>
      <x:c r="E24" s="18" t="str">
        <x:v>La sesión no posee el rol requerido o el recurso pertenece a otra organización.</x:v>
      </x:c>
      <x:c r="F24" s="18" t="str">
        <x:v>La persona intenta ejecutar la operación «Publicar actividad».</x:v>
      </x:c>
      <x:c r="G24" s="18" t="str">
        <x:v>El sistema deniega la operación sin exponer datos ajenos y registra el evento de seguridad cuando corresponde.</x:v>
      </x:c>
      <x:c r="H24" s="18" t="str">
        <x:v>ALZ-PT-005</x:v>
      </x:c>
    </x:row>
    <x:row r="25">
      <x:c r="A25" s="18" t="str">
        <x:v>ALZ-HU-005</x:v>
      </x:c>
      <x:c r="B25" s="18" t="str">
        <x:v>ALZ-HU-005-E4</x:v>
      </x:c>
      <x:c r="C25" s="19" t="n">
        <x:v>4</x:v>
      </x:c>
      <x:c r="D25" s="18" t="str">
        <x:v>Transición de estado</x:v>
      </x:c>
      <x:c r="E25" s="18" t="str">
        <x:v>La actividad está DRAFT, PUBLISHED o CLOSED.</x:v>
      </x:c>
      <x:c r="F25" s="18" t="str">
        <x:v>El profesor solicita un cambio de estado.</x:v>
      </x:c>
      <x:c r="G25" s="18" t="str">
        <x:v>Solo se permite una transición válida y se registra en auditoría.</x:v>
      </x:c>
      <x:c r="H25" s="18" t="str">
        <x:v>ALZ-PT-005</x:v>
      </x:c>
    </x:row>
    <x:row r="26">
      <x:c r="A26" s="18" t="str">
        <x:v>ALZ-HU-006</x:v>
      </x:c>
      <x:c r="B26" s="18" t="str">
        <x:v>ALZ-HU-006-E1</x:v>
      </x:c>
      <x:c r="C26" s="19" t="n">
        <x:v>1</x:v>
      </x:c>
      <x:c r="D26" s="18" t="str">
        <x:v>Flujo autorizado</x:v>
      </x:c>
      <x:c r="E26" s="18" t="str">
        <x:v>La persona actúa como profesor, posee sesión válida y opera dentro de su organización.</x:v>
      </x:c>
      <x:c r="F26" s="18" t="str">
        <x:v>Solicita la operación «Incorporar material RAG».</x:v>
      </x:c>
      <x:c r="G26" s="18" t="str">
        <x:v>El sistema completa «Incorporar material RAG», entrega el resultado esperado y conserva la trazabilidad necesaria.</x:v>
      </x:c>
      <x:c r="H26" s="18" t="str">
        <x:v>ALZ-PT-006</x:v>
      </x:c>
    </x:row>
    <x:row r="27">
      <x:c r="A27" s="18" t="str">
        <x:v>ALZ-HU-006</x:v>
      </x:c>
      <x:c r="B27" s="18" t="str">
        <x:v>ALZ-HU-006-E2</x:v>
      </x:c>
      <x:c r="C27" s="19" t="n">
        <x:v>2</x:v>
      </x:c>
      <x:c r="D27" s="18" t="str">
        <x:v>Datos inválidos o incompletos</x:v>
      </x:c>
      <x:c r="E27" s="18" t="str">
        <x:v>Falta un dato obligatorio o un valor no cumple el contrato definido.</x:v>
      </x:c>
      <x:c r="F27" s="18" t="str">
        <x:v>La persona intenta ejecutar la operación «Incorporar material RAG».</x:v>
      </x:c>
      <x:c r="G27" s="18" t="str">
        <x:v>El sistema rechaza la solicitud, identifica los campos corregibles y no altera el estado previo.</x:v>
      </x:c>
      <x:c r="H27" s="18" t="str">
        <x:v>ALZ-PT-006</x:v>
      </x:c>
    </x:row>
    <x:row r="28">
      <x:c r="A28" s="18" t="str">
        <x:v>ALZ-HU-006</x:v>
      </x:c>
      <x:c r="B28" s="18" t="str">
        <x:v>ALZ-HU-006-E3</x:v>
      </x:c>
      <x:c r="C28" s="19" t="n">
        <x:v>3</x:v>
      </x:c>
      <x:c r="D28" s="18" t="str">
        <x:v>Permiso o aislamiento insuficiente</x:v>
      </x:c>
      <x:c r="E28" s="18" t="str">
        <x:v>La sesión no posee el rol requerido o el recurso pertenece a otra organización.</x:v>
      </x:c>
      <x:c r="F28" s="18" t="str">
        <x:v>La persona intenta ejecutar la operación «Incorporar material RAG».</x:v>
      </x:c>
      <x:c r="G28" s="18" t="str">
        <x:v>El sistema deniega la operación sin exponer datos ajenos y registra el evento de seguridad cuando corresponde.</x:v>
      </x:c>
      <x:c r="H28" s="18" t="str">
        <x:v>ALZ-PT-006</x:v>
      </x:c>
    </x:row>
    <x:row r="29">
      <x:c r="A29" s="18" t="str">
        <x:v>ALZ-HU-006</x:v>
      </x:c>
      <x:c r="B29" s="18" t="str">
        <x:v>ALZ-HU-006-E4</x:v>
      </x:c>
      <x:c r="C29" s="19" t="n">
        <x:v>4</x:v>
      </x:c>
      <x:c r="D29" s="18" t="str">
        <x:v>Formato o tamaño no permitido</x:v>
      </x:c>
      <x:c r="E29" s="18" t="str">
        <x:v>El archivo no es PDF con texto, TXT o Markdown, o supera 10 MB.</x:v>
      </x:c>
      <x:c r="F29" s="18" t="str">
        <x:v>El profesor solicita su incorporación.</x:v>
      </x:c>
      <x:c r="G29" s="18" t="str">
        <x:v>El sistema rechaza el archivo antes de indexarlo e informa la restricción.</x:v>
      </x:c>
      <x:c r="H29" s="18" t="str">
        <x:v>ALZ-PT-006</x:v>
      </x:c>
    </x:row>
    <x:row r="30">
      <x:c r="A30" s="18" t="str">
        <x:v>ALZ-HU-007</x:v>
      </x:c>
      <x:c r="B30" s="18" t="str">
        <x:v>ALZ-HU-007-E1</x:v>
      </x:c>
      <x:c r="C30" s="19" t="n">
        <x:v>1</x:v>
      </x:c>
      <x:c r="D30" s="18" t="str">
        <x:v>Flujo autorizado</x:v>
      </x:c>
      <x:c r="E30" s="18" t="str">
        <x:v>La persona actúa como estudiante, posee sesión válida y opera dentro de su organización.</x:v>
      </x:c>
      <x:c r="F30" s="18" t="str">
        <x:v>Solicita la operación «Consultar actividades».</x:v>
      </x:c>
      <x:c r="G30" s="18" t="str">
        <x:v>El sistema completa «Consultar actividades», entrega el resultado esperado y conserva la trazabilidad necesaria.</x:v>
      </x:c>
      <x:c r="H30" s="18" t="str">
        <x:v>ALZ-PT-007</x:v>
      </x:c>
    </x:row>
    <x:row r="31">
      <x:c r="A31" s="18" t="str">
        <x:v>ALZ-HU-007</x:v>
      </x:c>
      <x:c r="B31" s="18" t="str">
        <x:v>ALZ-HU-007-E2</x:v>
      </x:c>
      <x:c r="C31" s="19" t="n">
        <x:v>2</x:v>
      </x:c>
      <x:c r="D31" s="18" t="str">
        <x:v>Datos inválidos o incompletos</x:v>
      </x:c>
      <x:c r="E31" s="18" t="str">
        <x:v>Falta un dato obligatorio o un valor no cumple el contrato definido.</x:v>
      </x:c>
      <x:c r="F31" s="18" t="str">
        <x:v>La persona intenta ejecutar la operación «Consultar actividades».</x:v>
      </x:c>
      <x:c r="G31" s="18" t="str">
        <x:v>El sistema rechaza la solicitud, identifica los campos corregibles y no altera el estado previo.</x:v>
      </x:c>
      <x:c r="H31" s="18" t="str">
        <x:v>ALZ-PT-007</x:v>
      </x:c>
    </x:row>
    <x:row r="32">
      <x:c r="A32" s="18" t="str">
        <x:v>ALZ-HU-007</x:v>
      </x:c>
      <x:c r="B32" s="18" t="str">
        <x:v>ALZ-HU-007-E3</x:v>
      </x:c>
      <x:c r="C32" s="19" t="n">
        <x:v>3</x:v>
      </x:c>
      <x:c r="D32" s="18" t="str">
        <x:v>Permiso o aislamiento insuficiente</x:v>
      </x:c>
      <x:c r="E32" s="18" t="str">
        <x:v>La sesión no posee el rol requerido o el recurso pertenece a otra organización.</x:v>
      </x:c>
      <x:c r="F32" s="18" t="str">
        <x:v>La persona intenta ejecutar la operación «Consultar actividades».</x:v>
      </x:c>
      <x:c r="G32" s="18" t="str">
        <x:v>El sistema deniega la operación sin exponer datos ajenos y registra el evento de seguridad cuando corresponde.</x:v>
      </x:c>
      <x:c r="H32" s="18" t="str">
        <x:v>ALZ-PT-007</x:v>
      </x:c>
    </x:row>
    <x:row r="33">
      <x:c r="A33" s="18" t="str">
        <x:v>ALZ-HU-007</x:v>
      </x:c>
      <x:c r="B33" s="18" t="str">
        <x:v>ALZ-HU-007-E4</x:v>
      </x:c>
      <x:c r="C33" s="19" t="n">
        <x:v>4</x:v>
      </x:c>
      <x:c r="D33" s="18" t="str">
        <x:v>Sin actividades publicadas</x:v>
      </x:c>
      <x:c r="E33" s="18" t="str">
        <x:v>La clase no tiene actividades en estado PUBLISHED.</x:v>
      </x:c>
      <x:c r="F33" s="18" t="str">
        <x:v>El estudiante abre la vista.</x:v>
      </x:c>
      <x:c r="G33" s="18" t="str">
        <x:v>Se muestra un estado vacío accesible sin inventar progreso.</x:v>
      </x:c>
      <x:c r="H33" s="18" t="str">
        <x:v>ALZ-PT-007</x:v>
      </x:c>
    </x:row>
    <x:row r="34">
      <x:c r="A34" s="18" t="str">
        <x:v>ALZ-HU-008</x:v>
      </x:c>
      <x:c r="B34" s="18" t="str">
        <x:v>ALZ-HU-008-E1</x:v>
      </x:c>
      <x:c r="C34" s="19" t="n">
        <x:v>1</x:v>
      </x:c>
      <x:c r="D34" s="18" t="str">
        <x:v>Flujo autorizado</x:v>
      </x:c>
      <x:c r="E34" s="18" t="str">
        <x:v>La persona actúa como estudiante, posee sesión válida y opera dentro de su organización.</x:v>
      </x:c>
      <x:c r="F34" s="18" t="str">
        <x:v>Solicita la operación «Abrir ejercicio».</x:v>
      </x:c>
      <x:c r="G34" s="18" t="str">
        <x:v>El sistema completa «Abrir ejercicio», entrega el resultado esperado y conserva la trazabilidad necesaria.</x:v>
      </x:c>
      <x:c r="H34" s="18" t="str">
        <x:v>ALZ-PT-008</x:v>
      </x:c>
    </x:row>
    <x:row r="35">
      <x:c r="A35" s="18" t="str">
        <x:v>ALZ-HU-008</x:v>
      </x:c>
      <x:c r="B35" s="18" t="str">
        <x:v>ALZ-HU-008-E2</x:v>
      </x:c>
      <x:c r="C35" s="19" t="n">
        <x:v>2</x:v>
      </x:c>
      <x:c r="D35" s="18" t="str">
        <x:v>Datos inválidos o incompletos</x:v>
      </x:c>
      <x:c r="E35" s="18" t="str">
        <x:v>Falta un dato obligatorio o un valor no cumple el contrato definido.</x:v>
      </x:c>
      <x:c r="F35" s="18" t="str">
        <x:v>La persona intenta ejecutar la operación «Abrir ejercicio».</x:v>
      </x:c>
      <x:c r="G35" s="18" t="str">
        <x:v>El sistema rechaza la solicitud, identifica los campos corregibles y no altera el estado previo.</x:v>
      </x:c>
      <x:c r="H35" s="18" t="str">
        <x:v>ALZ-PT-008</x:v>
      </x:c>
    </x:row>
    <x:row r="36">
      <x:c r="A36" s="18" t="str">
        <x:v>ALZ-HU-008</x:v>
      </x:c>
      <x:c r="B36" s="18" t="str">
        <x:v>ALZ-HU-008-E3</x:v>
      </x:c>
      <x:c r="C36" s="19" t="n">
        <x:v>3</x:v>
      </x:c>
      <x:c r="D36" s="18" t="str">
        <x:v>Permiso o aislamiento insuficiente</x:v>
      </x:c>
      <x:c r="E36" s="18" t="str">
        <x:v>La sesión no posee el rol requerido o el recurso pertenece a otra organización.</x:v>
      </x:c>
      <x:c r="F36" s="18" t="str">
        <x:v>La persona intenta ejecutar la operación «Abrir ejercicio».</x:v>
      </x:c>
      <x:c r="G36" s="18" t="str">
        <x:v>El sistema deniega la operación sin exponer datos ajenos y registra el evento de seguridad cuando corresponde.</x:v>
      </x:c>
      <x:c r="H36" s="18" t="str">
        <x:v>ALZ-PT-008</x:v>
      </x:c>
    </x:row>
    <x:row r="37">
      <x:c r="A37" s="18" t="str">
        <x:v>ALZ-HU-008</x:v>
      </x:c>
      <x:c r="B37" s="18" t="str">
        <x:v>ALZ-HU-008-E4</x:v>
      </x:c>
      <x:c r="C37" s="19" t="n">
        <x:v>4</x:v>
      </x:c>
      <x:c r="D37" s="18" t="str">
        <x:v>Ejercicio no disponible</x:v>
      </x:c>
      <x:c r="E37" s="18" t="str">
        <x:v>El ejercicio fue archivado o la actividad está cerrada.</x:v>
      </x:c>
      <x:c r="F37" s="18" t="str">
        <x:v>El estudiante intenta abrirlo.</x:v>
      </x:c>
      <x:c r="G37" s="18" t="str">
        <x:v>El sistema respeta el estado y explica por qué no está disponible.</x:v>
      </x:c>
      <x:c r="H37" s="18" t="str">
        <x:v>ALZ-PT-008</x:v>
      </x:c>
    </x:row>
    <x:row r="38">
      <x:c r="A38" s="18" t="str">
        <x:v>ALZ-HU-009</x:v>
      </x:c>
      <x:c r="B38" s="18" t="str">
        <x:v>ALZ-HU-009-E1</x:v>
      </x:c>
      <x:c r="C38" s="19" t="n">
        <x:v>1</x:v>
      </x:c>
      <x:c r="D38" s="18" t="str">
        <x:v>Flujo autorizado</x:v>
      </x:c>
      <x:c r="E38" s="18" t="str">
        <x:v>La persona actúa como estudiante, posee sesión válida y opera dentro de su organización.</x:v>
      </x:c>
      <x:c r="F38" s="18" t="str">
        <x:v>Solicita la operación «Ejecutar JavaScript».</x:v>
      </x:c>
      <x:c r="G38" s="18" t="str">
        <x:v>El sistema completa «Ejecutar JavaScript», entrega el resultado esperado y conserva la trazabilidad necesaria.</x:v>
      </x:c>
      <x:c r="H38" s="18" t="str">
        <x:v>ALZ-PT-009</x:v>
      </x:c>
    </x:row>
    <x:row r="39">
      <x:c r="A39" s="18" t="str">
        <x:v>ALZ-HU-009</x:v>
      </x:c>
      <x:c r="B39" s="18" t="str">
        <x:v>ALZ-HU-009-E2</x:v>
      </x:c>
      <x:c r="C39" s="19" t="n">
        <x:v>2</x:v>
      </x:c>
      <x:c r="D39" s="18" t="str">
        <x:v>Datos inválidos o incompletos</x:v>
      </x:c>
      <x:c r="E39" s="18" t="str">
        <x:v>Falta un dato obligatorio o un valor no cumple el contrato definido.</x:v>
      </x:c>
      <x:c r="F39" s="18" t="str">
        <x:v>La persona intenta ejecutar la operación «Ejecutar JavaScript».</x:v>
      </x:c>
      <x:c r="G39" s="18" t="str">
        <x:v>El sistema rechaza la solicitud, identifica los campos corregibles y no altera el estado previo.</x:v>
      </x:c>
      <x:c r="H39" s="18" t="str">
        <x:v>ALZ-PT-009</x:v>
      </x:c>
    </x:row>
    <x:row r="40">
      <x:c r="A40" s="18" t="str">
        <x:v>ALZ-HU-009</x:v>
      </x:c>
      <x:c r="B40" s="18" t="str">
        <x:v>ALZ-HU-009-E3</x:v>
      </x:c>
      <x:c r="C40" s="19" t="n">
        <x:v>3</x:v>
      </x:c>
      <x:c r="D40" s="18" t="str">
        <x:v>Permiso o aislamiento insuficiente</x:v>
      </x:c>
      <x:c r="E40" s="18" t="str">
        <x:v>La sesión no posee el rol requerido o el recurso pertenece a otra organización.</x:v>
      </x:c>
      <x:c r="F40" s="18" t="str">
        <x:v>La persona intenta ejecutar la operación «Ejecutar JavaScript».</x:v>
      </x:c>
      <x:c r="G40" s="18" t="str">
        <x:v>El sistema deniega la operación sin exponer datos ajenos y registra el evento de seguridad cuando corresponde.</x:v>
      </x:c>
      <x:c r="H40" s="18" t="str">
        <x:v>ALZ-PT-009</x:v>
      </x:c>
    </x:row>
    <x:row r="41">
      <x:c r="A41" s="18" t="str">
        <x:v>ALZ-HU-009</x:v>
      </x:c>
      <x:c r="B41" s="18" t="str">
        <x:v>ALZ-HU-009-E4</x:v>
      </x:c>
      <x:c r="C41" s="19" t="n">
        <x:v>4</x:v>
      </x:c>
      <x:c r="D41" s="18" t="str">
        <x:v>Límites de ejecución</x:v>
      </x:c>
      <x:c r="E41" s="18" t="str">
        <x:v>Vercel aprovisiona un sandbox con 1 vCPU y 2 GB; el proceso estudiantil alcanza 128 MB, 3 segundos o 64 KB.</x:v>
      </x:c>
      <x:c r="F41" s="18" t="str">
        <x:v>El proceso estudiantil continúa consumiendo recursos dentro del sandbox desechable.</x:v>
      </x:c>
      <x:c r="G41" s="18" t="str">
        <x:v>El ejecutor termina el proceso de forma controlada y devuelve TIMEOUT o límite excedido, sin exponer secretos, archivos del anfitrión ni red no autorizada.</x:v>
      </x:c>
      <x:c r="H41" s="18" t="str">
        <x:v>ALZ-PT-009</x:v>
      </x:c>
    </x:row>
    <x:row r="42">
      <x:c r="A42" s="18" t="str">
        <x:v>ALZ-HU-010</x:v>
      </x:c>
      <x:c r="B42" s="18" t="str">
        <x:v>ALZ-HU-010-E1</x:v>
      </x:c>
      <x:c r="C42" s="19" t="n">
        <x:v>1</x:v>
      </x:c>
      <x:c r="D42" s="18" t="str">
        <x:v>Flujo autorizado</x:v>
      </x:c>
      <x:c r="E42" s="18" t="str">
        <x:v>La persona actúa como estudiante, posee sesión válida y opera dentro de su organización.</x:v>
      </x:c>
      <x:c r="F42" s="18" t="str">
        <x:v>Solicita la operación «Persistir intento».</x:v>
      </x:c>
      <x:c r="G42" s="18" t="str">
        <x:v>El sistema completa «Persistir intento», entrega el resultado esperado y conserva la trazabilidad necesaria.</x:v>
      </x:c>
      <x:c r="H42" s="18" t="str">
        <x:v>ALZ-PT-010</x:v>
      </x:c>
    </x:row>
    <x:row r="43">
      <x:c r="A43" s="18" t="str">
        <x:v>ALZ-HU-010</x:v>
      </x:c>
      <x:c r="B43" s="18" t="str">
        <x:v>ALZ-HU-010-E2</x:v>
      </x:c>
      <x:c r="C43" s="19" t="n">
        <x:v>2</x:v>
      </x:c>
      <x:c r="D43" s="18" t="str">
        <x:v>Datos inválidos o incompletos</x:v>
      </x:c>
      <x:c r="E43" s="18" t="str">
        <x:v>Falta un dato obligatorio o un valor no cumple el contrato definido.</x:v>
      </x:c>
      <x:c r="F43" s="18" t="str">
        <x:v>La persona intenta ejecutar la operación «Persistir intento».</x:v>
      </x:c>
      <x:c r="G43" s="18" t="str">
        <x:v>El sistema rechaza la solicitud, identifica los campos corregibles y no altera el estado previo.</x:v>
      </x:c>
      <x:c r="H43" s="18" t="str">
        <x:v>ALZ-PT-010</x:v>
      </x:c>
    </x:row>
    <x:row r="44">
      <x:c r="A44" s="18" t="str">
        <x:v>ALZ-HU-010</x:v>
      </x:c>
      <x:c r="B44" s="18" t="str">
        <x:v>ALZ-HU-010-E3</x:v>
      </x:c>
      <x:c r="C44" s="19" t="n">
        <x:v>3</x:v>
      </x:c>
      <x:c r="D44" s="18" t="str">
        <x:v>Permiso o aislamiento insuficiente</x:v>
      </x:c>
      <x:c r="E44" s="18" t="str">
        <x:v>La sesión no posee el rol requerido o el recurso pertenece a otra organización.</x:v>
      </x:c>
      <x:c r="F44" s="18" t="str">
        <x:v>La persona intenta ejecutar la operación «Persistir intento».</x:v>
      </x:c>
      <x:c r="G44" s="18" t="str">
        <x:v>El sistema deniega la operación sin exponer datos ajenos y registra el evento de seguridad cuando corresponde.</x:v>
      </x:c>
      <x:c r="H44" s="18" t="str">
        <x:v>ALZ-PT-010</x:v>
      </x:c>
    </x:row>
    <x:row r="45">
      <x:c r="A45" s="18" t="str">
        <x:v>ALZ-HU-010</x:v>
      </x:c>
      <x:c r="B45" s="18" t="str">
        <x:v>ALZ-HU-010-E4</x:v>
      </x:c>
      <x:c r="C45" s="19" t="n">
        <x:v>4</x:v>
      </x:c>
      <x:c r="D45" s="18" t="str">
        <x:v>Proveedor de IA no disponible</x:v>
      </x:c>
      <x:c r="E45" s="18" t="str">
        <x:v>El intento ya fue recibido por la API.</x:v>
      </x:c>
      <x:c r="F45" s="18" t="str">
        <x:v>Falla el proveedor de feedback.</x:v>
      </x:c>
      <x:c r="G45" s="18" t="str">
        <x:v>El intento y resultado técnico permanecen guardados y el estado RAG queda PROVIDER_UNAVAILABLE.</x:v>
      </x:c>
      <x:c r="H45" s="18" t="str">
        <x:v>ALZ-PT-010</x:v>
      </x:c>
    </x:row>
    <x:row r="46">
      <x:c r="A46" s="18" t="str">
        <x:v>ALZ-HU-011</x:v>
      </x:c>
      <x:c r="B46" s="18" t="str">
        <x:v>ALZ-HU-011-E1</x:v>
      </x:c>
      <x:c r="C46" s="19" t="n">
        <x:v>1</x:v>
      </x:c>
      <x:c r="D46" s="18" t="str">
        <x:v>Flujo autorizado</x:v>
      </x:c>
      <x:c r="E46" s="18" t="str">
        <x:v>La persona actúa como estudiante, posee sesión válida y opera dentro de su organización.</x:v>
      </x:c>
      <x:c r="F46" s="18" t="str">
        <x:v>Solicita la operación «Diagnóstico técnico».</x:v>
      </x:c>
      <x:c r="G46" s="18" t="str">
        <x:v>El sistema completa «Diagnóstico técnico», entrega el resultado esperado y conserva la trazabilidad necesaria.</x:v>
      </x:c>
      <x:c r="H46" s="18" t="str">
        <x:v>ALZ-PT-011</x:v>
      </x:c>
    </x:row>
    <x:row r="47">
      <x:c r="A47" s="18" t="str">
        <x:v>ALZ-HU-011</x:v>
      </x:c>
      <x:c r="B47" s="18" t="str">
        <x:v>ALZ-HU-011-E2</x:v>
      </x:c>
      <x:c r="C47" s="19" t="n">
        <x:v>2</x:v>
      </x:c>
      <x:c r="D47" s="18" t="str">
        <x:v>Datos inválidos o incompletos</x:v>
      </x:c>
      <x:c r="E47" s="18" t="str">
        <x:v>Falta un dato obligatorio o un valor no cumple el contrato definido.</x:v>
      </x:c>
      <x:c r="F47" s="18" t="str">
        <x:v>La persona intenta ejecutar la operación «Diagnóstico técnico».</x:v>
      </x:c>
      <x:c r="G47" s="18" t="str">
        <x:v>El sistema rechaza la solicitud, identifica los campos corregibles y no altera el estado previo.</x:v>
      </x:c>
      <x:c r="H47" s="18" t="str">
        <x:v>ALZ-PT-011</x:v>
      </x:c>
    </x:row>
    <x:row r="48">
      <x:c r="A48" s="18" t="str">
        <x:v>ALZ-HU-011</x:v>
      </x:c>
      <x:c r="B48" s="18" t="str">
        <x:v>ALZ-HU-011-E3</x:v>
      </x:c>
      <x:c r="C48" s="19" t="n">
        <x:v>3</x:v>
      </x:c>
      <x:c r="D48" s="18" t="str">
        <x:v>Permiso o aislamiento insuficiente</x:v>
      </x:c>
      <x:c r="E48" s="18" t="str">
        <x:v>La sesión no posee el rol requerido o el recurso pertenece a otra organización.</x:v>
      </x:c>
      <x:c r="F48" s="18" t="str">
        <x:v>La persona intenta ejecutar la operación «Diagnóstico técnico».</x:v>
      </x:c>
      <x:c r="G48" s="18" t="str">
        <x:v>El sistema deniega la operación sin exponer datos ajenos y registra el evento de seguridad cuando corresponde.</x:v>
      </x:c>
      <x:c r="H48" s="18" t="str">
        <x:v>ALZ-PT-011</x:v>
      </x:c>
    </x:row>
    <x:row r="49">
      <x:c r="A49" s="18" t="str">
        <x:v>ALZ-HU-011</x:v>
      </x:c>
      <x:c r="B49" s="18" t="str">
        <x:v>ALZ-HU-011-E4</x:v>
      </x:c>
      <x:c r="C49" s="19" t="n">
        <x:v>4</x:v>
      </x:c>
      <x:c r="D49" s="18" t="str">
        <x:v>Diagnóstico desconocido</x:v>
      </x:c>
      <x:c r="E49" s="18" t="str">
        <x:v>El ejecutor devuelve una condición no clasificada.</x:v>
      </x:c>
      <x:c r="F49" s="18" t="str">
        <x:v>Se procesa el resultado.</x:v>
      </x:c>
      <x:c r="G49" s="18" t="str">
        <x:v>Se utiliza UNKNOWN, se conserva evidencia técnica y no se inventa una explicación.</x:v>
      </x:c>
      <x:c r="H49" s="18" t="str">
        <x:v>ALZ-PT-011</x:v>
      </x:c>
    </x:row>
    <x:row r="50">
      <x:c r="A50" s="18" t="str">
        <x:v>ALZ-HU-012</x:v>
      </x:c>
      <x:c r="B50" s="18" t="str">
        <x:v>ALZ-HU-012-E1</x:v>
      </x:c>
      <x:c r="C50" s="19" t="n">
        <x:v>1</x:v>
      </x:c>
      <x:c r="D50" s="18" t="str">
        <x:v>Flujo autorizado</x:v>
      </x:c>
      <x:c r="E50" s="18" t="str">
        <x:v>La persona actúa como estudiante, posee sesión válida y opera dentro de su organización.</x:v>
      </x:c>
      <x:c r="F50" s="18" t="str">
        <x:v>Solicita la operación «Pista progresiva».</x:v>
      </x:c>
      <x:c r="G50" s="18" t="str">
        <x:v>El sistema completa «Pista progresiva», entrega el resultado esperado y conserva la trazabilidad necesaria.</x:v>
      </x:c>
      <x:c r="H50" s="18" t="str">
        <x:v>ALZ-PT-012</x:v>
      </x:c>
    </x:row>
    <x:row r="51">
      <x:c r="A51" s="18" t="str">
        <x:v>ALZ-HU-012</x:v>
      </x:c>
      <x:c r="B51" s="18" t="str">
        <x:v>ALZ-HU-012-E2</x:v>
      </x:c>
      <x:c r="C51" s="19" t="n">
        <x:v>2</x:v>
      </x:c>
      <x:c r="D51" s="18" t="str">
        <x:v>Datos inválidos o incompletos</x:v>
      </x:c>
      <x:c r="E51" s="18" t="str">
        <x:v>Falta un dato obligatorio o un valor no cumple el contrato definido.</x:v>
      </x:c>
      <x:c r="F51" s="18" t="str">
        <x:v>La persona intenta ejecutar la operación «Pista progresiva».</x:v>
      </x:c>
      <x:c r="G51" s="18" t="str">
        <x:v>El sistema rechaza la solicitud, identifica los campos corregibles y no altera el estado previo.</x:v>
      </x:c>
      <x:c r="H51" s="18" t="str">
        <x:v>ALZ-PT-012</x:v>
      </x:c>
    </x:row>
    <x:row r="52">
      <x:c r="A52" s="18" t="str">
        <x:v>ALZ-HU-012</x:v>
      </x:c>
      <x:c r="B52" s="18" t="str">
        <x:v>ALZ-HU-012-E3</x:v>
      </x:c>
      <x:c r="C52" s="19" t="n">
        <x:v>3</x:v>
      </x:c>
      <x:c r="D52" s="18" t="str">
        <x:v>Permiso o aislamiento insuficiente</x:v>
      </x:c>
      <x:c r="E52" s="18" t="str">
        <x:v>La sesión no posee el rol requerido o el recurso pertenece a otra organización.</x:v>
      </x:c>
      <x:c r="F52" s="18" t="str">
        <x:v>La persona intenta ejecutar la operación «Pista progresiva».</x:v>
      </x:c>
      <x:c r="G52" s="18" t="str">
        <x:v>El sistema deniega la operación sin exponer datos ajenos y registra el evento de seguridad cuando corresponde.</x:v>
      </x:c>
      <x:c r="H52" s="18" t="str">
        <x:v>ALZ-PT-012</x:v>
      </x:c>
    </x:row>
    <x:row r="53">
      <x:c r="A53" s="18" t="str">
        <x:v>ALZ-HU-012</x:v>
      </x:c>
      <x:c r="B53" s="18" t="str">
        <x:v>ALZ-HU-012-E4</x:v>
      </x:c>
      <x:c r="C53" s="19" t="n">
        <x:v>4</x:v>
      </x:c>
      <x:c r="D53" s="18" t="str">
        <x:v>Sin evidencia recuperable</x:v>
      </x:c>
      <x:c r="E53" s="18" t="str">
        <x:v>La recuperación filtrada no encuentra fragmentos autorizados.</x:v>
      </x:c>
      <x:c r="F53" s="18" t="str">
        <x:v>El estudiante solicita una pista.</x:v>
      </x:c>
      <x:c r="G53" s="18" t="str">
        <x:v>Se entrega fallback seguro con estado NO_EVIDENCE y sin citas inventadas.</x:v>
      </x:c>
      <x:c r="H53" s="18" t="str">
        <x:v>ALZ-PT-012</x:v>
      </x:c>
    </x:row>
    <x:row r="54">
      <x:c r="A54" s="18" t="str">
        <x:v>ALZ-HU-013</x:v>
      </x:c>
      <x:c r="B54" s="18" t="str">
        <x:v>ALZ-HU-013-E1</x:v>
      </x:c>
      <x:c r="C54" s="19" t="n">
        <x:v>1</x:v>
      </x:c>
      <x:c r="D54" s="18" t="str">
        <x:v>Flujo autorizado</x:v>
      </x:c>
      <x:c r="E54" s="18" t="str">
        <x:v>La persona actúa como estudiante, posee sesión válida y opera dentro de su organización.</x:v>
      </x:c>
      <x:c r="F54" s="18" t="str">
        <x:v>Solicita la operación «Feedback RAG».</x:v>
      </x:c>
      <x:c r="G54" s="18" t="str">
        <x:v>El sistema completa «Feedback RAG», entrega el resultado esperado y conserva la trazabilidad necesaria.</x:v>
      </x:c>
      <x:c r="H54" s="18" t="str">
        <x:v>ALZ-PT-013</x:v>
      </x:c>
    </x:row>
    <x:row r="55">
      <x:c r="A55" s="18" t="str">
        <x:v>ALZ-HU-013</x:v>
      </x:c>
      <x:c r="B55" s="18" t="str">
        <x:v>ALZ-HU-013-E2</x:v>
      </x:c>
      <x:c r="C55" s="19" t="n">
        <x:v>2</x:v>
      </x:c>
      <x:c r="D55" s="18" t="str">
        <x:v>Datos inválidos o incompletos</x:v>
      </x:c>
      <x:c r="E55" s="18" t="str">
        <x:v>Falta un dato obligatorio o un valor no cumple el contrato definido.</x:v>
      </x:c>
      <x:c r="F55" s="18" t="str">
        <x:v>La persona intenta ejecutar la operación «Feedback RAG».</x:v>
      </x:c>
      <x:c r="G55" s="18" t="str">
        <x:v>El sistema rechaza la solicitud, identifica los campos corregibles y no altera el estado previo.</x:v>
      </x:c>
      <x:c r="H55" s="18" t="str">
        <x:v>ALZ-PT-013</x:v>
      </x:c>
    </x:row>
    <x:row r="56">
      <x:c r="A56" s="18" t="str">
        <x:v>ALZ-HU-013</x:v>
      </x:c>
      <x:c r="B56" s="18" t="str">
        <x:v>ALZ-HU-013-E3</x:v>
      </x:c>
      <x:c r="C56" s="19" t="n">
        <x:v>3</x:v>
      </x:c>
      <x:c r="D56" s="18" t="str">
        <x:v>Permiso o aislamiento insuficiente</x:v>
      </x:c>
      <x:c r="E56" s="18" t="str">
        <x:v>La sesión no posee el rol requerido o el recurso pertenece a otra organización.</x:v>
      </x:c>
      <x:c r="F56" s="18" t="str">
        <x:v>La persona intenta ejecutar la operación «Feedback RAG».</x:v>
      </x:c>
      <x:c r="G56" s="18" t="str">
        <x:v>El sistema deniega la operación sin exponer datos ajenos y registra el evento de seguridad cuando corresponde.</x:v>
      </x:c>
      <x:c r="H56" s="18" t="str">
        <x:v>ALZ-PT-013</x:v>
      </x:c>
    </x:row>
    <x:row r="57">
      <x:c r="A57" s="18" t="str">
        <x:v>ALZ-HU-013</x:v>
      </x:c>
      <x:c r="B57" s="18" t="str">
        <x:v>ALZ-HU-013-E4</x:v>
      </x:c>
      <x:c r="C57" s="19" t="n">
        <x:v>4</x:v>
      </x:c>
      <x:c r="D57" s="18" t="str">
        <x:v>Contrato RAG incompleto</x:v>
      </x:c>
      <x:c r="E57" s="18" t="str">
        <x:v>La respuesta no contiene diagnosis_code, explanation, hint, source_refs y status válidos.</x:v>
      </x:c>
      <x:c r="F57" s="18" t="str">
        <x:v>La API valida la salida.</x:v>
      </x:c>
      <x:c r="G57" s="18" t="str">
        <x:v>Se descarta la respuesta y se presenta fallback sin bloquear el intento persistido.</x:v>
      </x:c>
      <x:c r="H57" s="18" t="str">
        <x:v>ALZ-PT-013</x:v>
      </x:c>
    </x:row>
    <x:row r="58">
      <x:c r="A58" s="18" t="str">
        <x:v>ALZ-HU-014</x:v>
      </x:c>
      <x:c r="B58" s="18" t="str">
        <x:v>ALZ-HU-014-E1</x:v>
      </x:c>
      <x:c r="C58" s="19" t="n">
        <x:v>1</x:v>
      </x:c>
      <x:c r="D58" s="18" t="str">
        <x:v>Flujo autorizado</x:v>
      </x:c>
      <x:c r="E58" s="18" t="str">
        <x:v>La persona actúa como estudiante, posee sesión válida y opera dentro de su organización.</x:v>
      </x:c>
      <x:c r="F58" s="18" t="str">
        <x:v>Solicita la operación «Reintentar ejercicio».</x:v>
      </x:c>
      <x:c r="G58" s="18" t="str">
        <x:v>El sistema completa «Reintentar ejercicio», entrega el resultado esperado y conserva la trazabilidad necesaria.</x:v>
      </x:c>
      <x:c r="H58" s="18" t="str">
        <x:v>ALZ-PT-014</x:v>
      </x:c>
    </x:row>
    <x:row r="59">
      <x:c r="A59" s="18" t="str">
        <x:v>ALZ-HU-014</x:v>
      </x:c>
      <x:c r="B59" s="18" t="str">
        <x:v>ALZ-HU-014-E2</x:v>
      </x:c>
      <x:c r="C59" s="19" t="n">
        <x:v>2</x:v>
      </x:c>
      <x:c r="D59" s="18" t="str">
        <x:v>Datos inválidos o incompletos</x:v>
      </x:c>
      <x:c r="E59" s="18" t="str">
        <x:v>Falta un dato obligatorio o un valor no cumple el contrato definido.</x:v>
      </x:c>
      <x:c r="F59" s="18" t="str">
        <x:v>La persona intenta ejecutar la operación «Reintentar ejercicio».</x:v>
      </x:c>
      <x:c r="G59" s="18" t="str">
        <x:v>El sistema rechaza la solicitud, identifica los campos corregibles y no altera el estado previo.</x:v>
      </x:c>
      <x:c r="H59" s="18" t="str">
        <x:v>ALZ-PT-014</x:v>
      </x:c>
    </x:row>
    <x:row r="60">
      <x:c r="A60" s="18" t="str">
        <x:v>ALZ-HU-014</x:v>
      </x:c>
      <x:c r="B60" s="18" t="str">
        <x:v>ALZ-HU-014-E3</x:v>
      </x:c>
      <x:c r="C60" s="19" t="n">
        <x:v>3</x:v>
      </x:c>
      <x:c r="D60" s="18" t="str">
        <x:v>Permiso o aislamiento insuficiente</x:v>
      </x:c>
      <x:c r="E60" s="18" t="str">
        <x:v>La sesión no posee el rol requerido o el recurso pertenece a otra organización.</x:v>
      </x:c>
      <x:c r="F60" s="18" t="str">
        <x:v>La persona intenta ejecutar la operación «Reintentar ejercicio».</x:v>
      </x:c>
      <x:c r="G60" s="18" t="str">
        <x:v>El sistema deniega la operación sin exponer datos ajenos y registra el evento de seguridad cuando corresponde.</x:v>
      </x:c>
      <x:c r="H60" s="18" t="str">
        <x:v>ALZ-PT-014</x:v>
      </x:c>
    </x:row>
    <x:row r="61">
      <x:c r="A61" s="18" t="str">
        <x:v>ALZ-HU-014</x:v>
      </x:c>
      <x:c r="B61" s="18" t="str">
        <x:v>ALZ-HU-014-E4</x:v>
      </x:c>
      <x:c r="C61" s="19" t="n">
        <x:v>4</x:v>
      </x:c>
      <x:c r="D61" s="18" t="str">
        <x:v>Reintento concurrente</x:v>
      </x:c>
      <x:c r="E61" s="18" t="str">
        <x:v>Existe otro envío activo para el mismo ejercicio.</x:v>
      </x:c>
      <x:c r="F61" s="18" t="str">
        <x:v>El estudiante vuelve a enviar.</x:v>
      </x:c>
      <x:c r="G61" s="18" t="str">
        <x:v>Cada intento recibe un identificador único y el orden se conserva por fecha.</x:v>
      </x:c>
      <x:c r="H61" s="18" t="str">
        <x:v>ALZ-PT-014</x:v>
      </x:c>
    </x:row>
    <x:row r="62">
      <x:c r="A62" s="18" t="str">
        <x:v>ALZ-HU-015</x:v>
      </x:c>
      <x:c r="B62" s="18" t="str">
        <x:v>ALZ-HU-015-E1</x:v>
      </x:c>
      <x:c r="C62" s="19" t="n">
        <x:v>1</x:v>
      </x:c>
      <x:c r="D62" s="18" t="str">
        <x:v>Flujo autorizado</x:v>
      </x:c>
      <x:c r="E62" s="18" t="str">
        <x:v>La persona actúa como estudiante, posee sesión válida y opera dentro de su organización.</x:v>
      </x:c>
      <x:c r="F62" s="18" t="str">
        <x:v>Solicita la operación «Consultar progreso».</x:v>
      </x:c>
      <x:c r="G62" s="18" t="str">
        <x:v>El sistema completa «Consultar progreso», entrega el resultado esperado y conserva la trazabilidad necesaria.</x:v>
      </x:c>
      <x:c r="H62" s="18" t="str">
        <x:v>ALZ-PT-015</x:v>
      </x:c>
    </x:row>
    <x:row r="63">
      <x:c r="A63" s="18" t="str">
        <x:v>ALZ-HU-015</x:v>
      </x:c>
      <x:c r="B63" s="18" t="str">
        <x:v>ALZ-HU-015-E2</x:v>
      </x:c>
      <x:c r="C63" s="19" t="n">
        <x:v>2</x:v>
      </x:c>
      <x:c r="D63" s="18" t="str">
        <x:v>Datos inválidos o incompletos</x:v>
      </x:c>
      <x:c r="E63" s="18" t="str">
        <x:v>Falta un dato obligatorio o un valor no cumple el contrato definido.</x:v>
      </x:c>
      <x:c r="F63" s="18" t="str">
        <x:v>La persona intenta ejecutar la operación «Consultar progreso».</x:v>
      </x:c>
      <x:c r="G63" s="18" t="str">
        <x:v>El sistema rechaza la solicitud, identifica los campos corregibles y no altera el estado previo.</x:v>
      </x:c>
      <x:c r="H63" s="18" t="str">
        <x:v>ALZ-PT-015</x:v>
      </x:c>
    </x:row>
    <x:row r="64">
      <x:c r="A64" s="18" t="str">
        <x:v>ALZ-HU-015</x:v>
      </x:c>
      <x:c r="B64" s="18" t="str">
        <x:v>ALZ-HU-015-E3</x:v>
      </x:c>
      <x:c r="C64" s="19" t="n">
        <x:v>3</x:v>
      </x:c>
      <x:c r="D64" s="18" t="str">
        <x:v>Permiso o aislamiento insuficiente</x:v>
      </x:c>
      <x:c r="E64" s="18" t="str">
        <x:v>La sesión no posee el rol requerido o el recurso pertenece a otra organización.</x:v>
      </x:c>
      <x:c r="F64" s="18" t="str">
        <x:v>La persona intenta ejecutar la operación «Consultar progreso».</x:v>
      </x:c>
      <x:c r="G64" s="18" t="str">
        <x:v>El sistema deniega la operación sin exponer datos ajenos y registra el evento de seguridad cuando corresponde.</x:v>
      </x:c>
      <x:c r="H64" s="18" t="str">
        <x:v>ALZ-PT-015</x:v>
      </x:c>
    </x:row>
    <x:row r="65">
      <x:c r="A65" s="18" t="str">
        <x:v>ALZ-HU-015</x:v>
      </x:c>
      <x:c r="B65" s="18" t="str">
        <x:v>ALZ-HU-015-E4</x:v>
      </x:c>
      <x:c r="C65" s="19" t="n">
        <x:v>4</x:v>
      </x:c>
      <x:c r="D65" s="18" t="str">
        <x:v>Actividad sin ejercicios requeridos</x:v>
      </x:c>
      <x:c r="E65" s="18" t="str">
        <x:v>La actividad aún no define ejercicios requeridos.</x:v>
      </x:c>
      <x:c r="F65" s="18" t="str">
        <x:v>El estudiante consulta progreso.</x:v>
      </x:c>
      <x:c r="G65" s="18" t="str">
        <x:v>Se muestra un estado no calculable, sin división por cero ni valores inventados.</x:v>
      </x:c>
      <x:c r="H65" s="18" t="str">
        <x:v>ALZ-PT-015</x:v>
      </x:c>
    </x:row>
    <x:row r="66">
      <x:c r="A66" s="18" t="str">
        <x:v>ALZ-HU-016</x:v>
      </x:c>
      <x:c r="B66" s="18" t="str">
        <x:v>ALZ-HU-016-E1</x:v>
      </x:c>
      <x:c r="C66" s="19" t="n">
        <x:v>1</x:v>
      </x:c>
      <x:c r="D66" s="18" t="str">
        <x:v>Flujo autorizado</x:v>
      </x:c>
      <x:c r="E66" s="18" t="str">
        <x:v>La persona actúa como profesor, posee sesión válida y opera dentro de su organización.</x:v>
      </x:c>
      <x:c r="F66" s="18" t="str">
        <x:v>Solicita la operación «Panel docente».</x:v>
      </x:c>
      <x:c r="G66" s="18" t="str">
        <x:v>El sistema completa «Panel docente», entrega el resultado esperado y conserva la trazabilidad necesaria.</x:v>
      </x:c>
      <x:c r="H66" s="18" t="str">
        <x:v>ALZ-PT-016</x:v>
      </x:c>
    </x:row>
    <x:row r="67">
      <x:c r="A67" s="18" t="str">
        <x:v>ALZ-HU-016</x:v>
      </x:c>
      <x:c r="B67" s="18" t="str">
        <x:v>ALZ-HU-016-E2</x:v>
      </x:c>
      <x:c r="C67" s="19" t="n">
        <x:v>2</x:v>
      </x:c>
      <x:c r="D67" s="18" t="str">
        <x:v>Datos inválidos o incompletos</x:v>
      </x:c>
      <x:c r="E67" s="18" t="str">
        <x:v>Falta un dato obligatorio o un valor no cumple el contrato definido.</x:v>
      </x:c>
      <x:c r="F67" s="18" t="str">
        <x:v>La persona intenta ejecutar la operación «Panel docente».</x:v>
      </x:c>
      <x:c r="G67" s="18" t="str">
        <x:v>El sistema rechaza la solicitud, identifica los campos corregibles y no altera el estado previo.</x:v>
      </x:c>
      <x:c r="H67" s="18" t="str">
        <x:v>ALZ-PT-016</x:v>
      </x:c>
    </x:row>
    <x:row r="68">
      <x:c r="A68" s="18" t="str">
        <x:v>ALZ-HU-016</x:v>
      </x:c>
      <x:c r="B68" s="18" t="str">
        <x:v>ALZ-HU-016-E3</x:v>
      </x:c>
      <x:c r="C68" s="19" t="n">
        <x:v>3</x:v>
      </x:c>
      <x:c r="D68" s="18" t="str">
        <x:v>Permiso o aislamiento insuficiente</x:v>
      </x:c>
      <x:c r="E68" s="18" t="str">
        <x:v>La sesión no posee el rol requerido o el recurso pertenece a otra organización.</x:v>
      </x:c>
      <x:c r="F68" s="18" t="str">
        <x:v>La persona intenta ejecutar la operación «Panel docente».</x:v>
      </x:c>
      <x:c r="G68" s="18" t="str">
        <x:v>El sistema deniega la operación sin exponer datos ajenos y registra el evento de seguridad cuando corresponde.</x:v>
      </x:c>
      <x:c r="H68" s="18" t="str">
        <x:v>ALZ-PT-016</x:v>
      </x:c>
    </x:row>
    <x:row r="69">
      <x:c r="A69" s="18" t="str">
        <x:v>ALZ-HU-016</x:v>
      </x:c>
      <x:c r="B69" s="18" t="str">
        <x:v>ALZ-HU-016-E4</x:v>
      </x:c>
      <x:c r="C69" s="19" t="n">
        <x:v>4</x:v>
      </x:c>
      <x:c r="D69" s="18" t="str">
        <x:v>Clase sin eventos</x:v>
      </x:c>
      <x:c r="E69" s="18" t="str">
        <x:v>La clase no registra intentos ni eventos en el periodo.</x:v>
      </x:c>
      <x:c r="F69" s="18" t="str">
        <x:v>El profesor abre el panel.</x:v>
      </x:c>
      <x:c r="G69" s="18" t="str">
        <x:v>Se muestran ceros y estados vacíos coherentes basados solo en datos observados.</x:v>
      </x:c>
      <x:c r="H69" s="18" t="str">
        <x:v>ALZ-PT-016</x:v>
      </x:c>
    </x:row>
    <x:row r="70">
      <x:c r="A70" s="18" t="str">
        <x:v>ALZ-HU-017</x:v>
      </x:c>
      <x:c r="B70" s="18" t="str">
        <x:v>ALZ-HU-017-E1</x:v>
      </x:c>
      <x:c r="C70" s="19" t="n">
        <x:v>1</x:v>
      </x:c>
      <x:c r="D70" s="18" t="str">
        <x:v>Flujo autorizado</x:v>
      </x:c>
      <x:c r="E70" s="18" t="str">
        <x:v>La persona actúa como profesor, posee sesión válida y opera dentro de su organización.</x:v>
      </x:c>
      <x:c r="F70" s="18" t="str">
        <x:v>Solicita la operación «Detalle de estudiante».</x:v>
      </x:c>
      <x:c r="G70" s="18" t="str">
        <x:v>El sistema completa «Detalle de estudiante», entrega el resultado esperado y conserva la trazabilidad necesaria.</x:v>
      </x:c>
      <x:c r="H70" s="18" t="str">
        <x:v>ALZ-PT-017</x:v>
      </x:c>
    </x:row>
    <x:row r="71">
      <x:c r="A71" s="18" t="str">
        <x:v>ALZ-HU-017</x:v>
      </x:c>
      <x:c r="B71" s="18" t="str">
        <x:v>ALZ-HU-017-E2</x:v>
      </x:c>
      <x:c r="C71" s="19" t="n">
        <x:v>2</x:v>
      </x:c>
      <x:c r="D71" s="18" t="str">
        <x:v>Datos inválidos o incompletos</x:v>
      </x:c>
      <x:c r="E71" s="18" t="str">
        <x:v>Falta un dato obligatorio o un valor no cumple el contrato definido.</x:v>
      </x:c>
      <x:c r="F71" s="18" t="str">
        <x:v>La persona intenta ejecutar la operación «Detalle de estudiante».</x:v>
      </x:c>
      <x:c r="G71" s="18" t="str">
        <x:v>El sistema rechaza la solicitud, identifica los campos corregibles y no altera el estado previo.</x:v>
      </x:c>
      <x:c r="H71" s="18" t="str">
        <x:v>ALZ-PT-017</x:v>
      </x:c>
    </x:row>
    <x:row r="72">
      <x:c r="A72" s="18" t="str">
        <x:v>ALZ-HU-017</x:v>
      </x:c>
      <x:c r="B72" s="18" t="str">
        <x:v>ALZ-HU-017-E3</x:v>
      </x:c>
      <x:c r="C72" s="19" t="n">
        <x:v>3</x:v>
      </x:c>
      <x:c r="D72" s="18" t="str">
        <x:v>Permiso o aislamiento insuficiente</x:v>
      </x:c>
      <x:c r="E72" s="18" t="str">
        <x:v>La sesión no posee el rol requerido o el recurso pertenece a otra organización.</x:v>
      </x:c>
      <x:c r="F72" s="18" t="str">
        <x:v>La persona intenta ejecutar la operación «Detalle de estudiante».</x:v>
      </x:c>
      <x:c r="G72" s="18" t="str">
        <x:v>El sistema deniega la operación sin exponer datos ajenos y registra el evento de seguridad cuando corresponde.</x:v>
      </x:c>
      <x:c r="H72" s="18" t="str">
        <x:v>ALZ-PT-017</x:v>
      </x:c>
    </x:row>
    <x:row r="73">
      <x:c r="A73" s="18" t="str">
        <x:v>ALZ-HU-017</x:v>
      </x:c>
      <x:c r="B73" s="18" t="str">
        <x:v>ALZ-HU-017-E4</x:v>
      </x:c>
      <x:c r="C73" s="19" t="n">
        <x:v>4</x:v>
      </x:c>
      <x:c r="D73" s="18" t="str">
        <x:v>Estudiante fuera de la clase</x:v>
      </x:c>
      <x:c r="E73" s="18" t="str">
        <x:v>La persona pertenece a otra clase u organización.</x:v>
      </x:c>
      <x:c r="F73" s="18" t="str">
        <x:v>El profesor solicita su detalle.</x:v>
      </x:c>
      <x:c r="G73" s="18" t="str">
        <x:v>Se deniega el acceso y no se expone existencia ni datos personales.</x:v>
      </x:c>
      <x:c r="H73" s="18" t="str">
        <x:v>ALZ-PT-017</x:v>
      </x:c>
    </x:row>
    <x:row r="74">
      <x:c r="A74" s="18" t="str">
        <x:v>ALZ-HU-018</x:v>
      </x:c>
      <x:c r="B74" s="18" t="str">
        <x:v>ALZ-HU-018-E1</x:v>
      </x:c>
      <x:c r="C74" s="19" t="n">
        <x:v>1</x:v>
      </x:c>
      <x:c r="D74" s="18" t="str">
        <x:v>Flujo autorizado</x:v>
      </x:c>
      <x:c r="E74" s="18" t="str">
        <x:v>La persona actúa como profesor, posee sesión válida y opera dentro de su organización.</x:v>
      </x:c>
      <x:c r="F74" s="18" t="str">
        <x:v>Solicita la operación «Señales deterministas».</x:v>
      </x:c>
      <x:c r="G74" s="18" t="str">
        <x:v>El sistema completa «Señales deterministas», entrega el resultado esperado y conserva la trazabilidad necesaria.</x:v>
      </x:c>
      <x:c r="H74" s="18" t="str">
        <x:v>ALZ-PT-018</x:v>
      </x:c>
    </x:row>
    <x:row r="75">
      <x:c r="A75" s="18" t="str">
        <x:v>ALZ-HU-018</x:v>
      </x:c>
      <x:c r="B75" s="18" t="str">
        <x:v>ALZ-HU-018-E2</x:v>
      </x:c>
      <x:c r="C75" s="19" t="n">
        <x:v>2</x:v>
      </x:c>
      <x:c r="D75" s="18" t="str">
        <x:v>Datos inválidos o incompletos</x:v>
      </x:c>
      <x:c r="E75" s="18" t="str">
        <x:v>Falta un dato obligatorio o un valor no cumple el contrato definido.</x:v>
      </x:c>
      <x:c r="F75" s="18" t="str">
        <x:v>La persona intenta ejecutar la operación «Señales deterministas».</x:v>
      </x:c>
      <x:c r="G75" s="18" t="str">
        <x:v>El sistema rechaza la solicitud, identifica los campos corregibles y no altera el estado previo.</x:v>
      </x:c>
      <x:c r="H75" s="18" t="str">
        <x:v>ALZ-PT-018</x:v>
      </x:c>
    </x:row>
    <x:row r="76">
      <x:c r="A76" s="18" t="str">
        <x:v>ALZ-HU-018</x:v>
      </x:c>
      <x:c r="B76" s="18" t="str">
        <x:v>ALZ-HU-018-E3</x:v>
      </x:c>
      <x:c r="C76" s="19" t="n">
        <x:v>3</x:v>
      </x:c>
      <x:c r="D76" s="18" t="str">
        <x:v>Permiso o aislamiento insuficiente</x:v>
      </x:c>
      <x:c r="E76" s="18" t="str">
        <x:v>La sesión no posee el rol requerido o el recurso pertenece a otra organización.</x:v>
      </x:c>
      <x:c r="F76" s="18" t="str">
        <x:v>La persona intenta ejecutar la operación «Señales deterministas».</x:v>
      </x:c>
      <x:c r="G76" s="18" t="str">
        <x:v>El sistema deniega la operación sin exponer datos ajenos y registra el evento de seguridad cuando corresponde.</x:v>
      </x:c>
      <x:c r="H76" s="18" t="str">
        <x:v>ALZ-PT-018</x:v>
      </x:c>
    </x:row>
    <x:row r="77">
      <x:c r="A77" s="18" t="str">
        <x:v>ALZ-HU-018</x:v>
      </x:c>
      <x:c r="B77" s="18" t="str">
        <x:v>ALZ-HU-018-E4</x:v>
      </x:c>
      <x:c r="C77" s="19" t="n">
        <x:v>4</x:v>
      </x:c>
      <x:c r="D77" s="18" t="str">
        <x:v>Regla no satisfecha</x:v>
      </x:c>
      <x:c r="E77" s="18" t="str">
        <x:v>Los eventos no cumplen el umbral configurado.</x:v>
      </x:c>
      <x:c r="F77" s="18" t="str">
        <x:v>Se recalculan las señales.</x:v>
      </x:c>
      <x:c r="G77" s="18" t="str">
        <x:v>No se crea una señal y queda disponible la evidencia de la evaluación determinista.</x:v>
      </x:c>
      <x:c r="H77" s="18" t="str">
        <x:v>ALZ-PT-018</x:v>
      </x:c>
    </x:row>
    <x:row r="78">
      <x:c r="A78" s="18" t="str">
        <x:v>ALZ-HU-019</x:v>
      </x:c>
      <x:c r="B78" s="18" t="str">
        <x:v>ALZ-HU-019-E1</x:v>
      </x:c>
      <x:c r="C78" s="19" t="n">
        <x:v>1</x:v>
      </x:c>
      <x:c r="D78" s="18" t="str">
        <x:v>Flujo autorizado</x:v>
      </x:c>
      <x:c r="E78" s="18" t="str">
        <x:v>La persona actúa como profesor, posee sesión válida y opera dentro de su organización.</x:v>
      </x:c>
      <x:c r="F78" s="18" t="str">
        <x:v>Solicita la operación «Revisar señal».</x:v>
      </x:c>
      <x:c r="G78" s="18" t="str">
        <x:v>El sistema completa «Revisar señal», entrega el resultado esperado y conserva la trazabilidad necesaria.</x:v>
      </x:c>
      <x:c r="H78" s="18" t="str">
        <x:v>ALZ-PT-019</x:v>
      </x:c>
    </x:row>
    <x:row r="79">
      <x:c r="A79" s="18" t="str">
        <x:v>ALZ-HU-019</x:v>
      </x:c>
      <x:c r="B79" s="18" t="str">
        <x:v>ALZ-HU-019-E2</x:v>
      </x:c>
      <x:c r="C79" s="19" t="n">
        <x:v>2</x:v>
      </x:c>
      <x:c r="D79" s="18" t="str">
        <x:v>Datos inválidos o incompletos</x:v>
      </x:c>
      <x:c r="E79" s="18" t="str">
        <x:v>Falta un dato obligatorio o un valor no cumple el contrato definido.</x:v>
      </x:c>
      <x:c r="F79" s="18" t="str">
        <x:v>La persona intenta ejecutar la operación «Revisar señal».</x:v>
      </x:c>
      <x:c r="G79" s="18" t="str">
        <x:v>El sistema rechaza la solicitud, identifica los campos corregibles y no altera el estado previo.</x:v>
      </x:c>
      <x:c r="H79" s="18" t="str">
        <x:v>ALZ-PT-019</x:v>
      </x:c>
    </x:row>
    <x:row r="80">
      <x:c r="A80" s="18" t="str">
        <x:v>ALZ-HU-019</x:v>
      </x:c>
      <x:c r="B80" s="18" t="str">
        <x:v>ALZ-HU-019-E3</x:v>
      </x:c>
      <x:c r="C80" s="19" t="n">
        <x:v>3</x:v>
      </x:c>
      <x:c r="D80" s="18" t="str">
        <x:v>Permiso o aislamiento insuficiente</x:v>
      </x:c>
      <x:c r="E80" s="18" t="str">
        <x:v>La sesión no posee el rol requerido o el recurso pertenece a otra organización.</x:v>
      </x:c>
      <x:c r="F80" s="18" t="str">
        <x:v>La persona intenta ejecutar la operación «Revisar señal».</x:v>
      </x:c>
      <x:c r="G80" s="18" t="str">
        <x:v>El sistema deniega la operación sin exponer datos ajenos y registra el evento de seguridad cuando corresponde.</x:v>
      </x:c>
      <x:c r="H80" s="18" t="str">
        <x:v>ALZ-PT-019</x:v>
      </x:c>
    </x:row>
    <x:row r="81">
      <x:c r="A81" s="18" t="str">
        <x:v>ALZ-HU-019</x:v>
      </x:c>
      <x:c r="B81" s="18" t="str">
        <x:v>ALZ-HU-019-E4</x:v>
      </x:c>
      <x:c r="C81" s="19" t="n">
        <x:v>4</x:v>
      </x:c>
      <x:c r="D81" s="18" t="str">
        <x:v>Señal ya revisada</x:v>
      </x:c>
      <x:c r="E81" s="18" t="str">
        <x:v>La señal está en estado REVIEWED.</x:v>
      </x:c>
      <x:c r="F81" s="18" t="str">
        <x:v>El profesor repite la acción.</x:v>
      </x:c>
      <x:c r="G81" s="18" t="str">
        <x:v>La operación es idempotente y conserva autor y fecha originales.</x:v>
      </x:c>
      <x:c r="H81" s="18" t="str">
        <x:v>ALZ-PT-019</x:v>
      </x:c>
    </x:row>
    <x:row r="82">
      <x:c r="A82" s="18" t="str">
        <x:v>ALZ-HU-020</x:v>
      </x:c>
      <x:c r="B82" s="18" t="str">
        <x:v>ALZ-HU-020-E1</x:v>
      </x:c>
      <x:c r="C82" s="19" t="n">
        <x:v>1</x:v>
      </x:c>
      <x:c r="D82" s="18" t="str">
        <x:v>Flujo autorizado</x:v>
      </x:c>
      <x:c r="E82" s="18" t="str">
        <x:v>La persona actúa como administrador, posee sesión válida y opera dentro de su organización.</x:v>
      </x:c>
      <x:c r="F82" s="18" t="str">
        <x:v>Solicita la operación «Administrar organizaciones».</x:v>
      </x:c>
      <x:c r="G82" s="18" t="str">
        <x:v>El sistema completa «Administrar organizaciones», entrega el resultado esperado y conserva la trazabilidad necesaria.</x:v>
      </x:c>
      <x:c r="H82" s="18" t="str">
        <x:v>ALZ-PT-020</x:v>
      </x:c>
    </x:row>
    <x:row r="83">
      <x:c r="A83" s="18" t="str">
        <x:v>ALZ-HU-020</x:v>
      </x:c>
      <x:c r="B83" s="18" t="str">
        <x:v>ALZ-HU-020-E2</x:v>
      </x:c>
      <x:c r="C83" s="19" t="n">
        <x:v>2</x:v>
      </x:c>
      <x:c r="D83" s="18" t="str">
        <x:v>Datos inválidos o incompletos</x:v>
      </x:c>
      <x:c r="E83" s="18" t="str">
        <x:v>Falta un dato obligatorio o un valor no cumple el contrato definido.</x:v>
      </x:c>
      <x:c r="F83" s="18" t="str">
        <x:v>La persona intenta ejecutar la operación «Administrar organizaciones».</x:v>
      </x:c>
      <x:c r="G83" s="18" t="str">
        <x:v>El sistema rechaza la solicitud, identifica los campos corregibles y no altera el estado previo.</x:v>
      </x:c>
      <x:c r="H83" s="18" t="str">
        <x:v>ALZ-PT-020</x:v>
      </x:c>
    </x:row>
    <x:row r="84">
      <x:c r="A84" s="18" t="str">
        <x:v>ALZ-HU-020</x:v>
      </x:c>
      <x:c r="B84" s="18" t="str">
        <x:v>ALZ-HU-020-E3</x:v>
      </x:c>
      <x:c r="C84" s="19" t="n">
        <x:v>3</x:v>
      </x:c>
      <x:c r="D84" s="18" t="str">
        <x:v>Permiso o aislamiento insuficiente</x:v>
      </x:c>
      <x:c r="E84" s="18" t="str">
        <x:v>La sesión no posee el rol requerido o el recurso pertenece a otra organización.</x:v>
      </x:c>
      <x:c r="F84" s="18" t="str">
        <x:v>La persona intenta ejecutar la operación «Administrar organizaciones».</x:v>
      </x:c>
      <x:c r="G84" s="18" t="str">
        <x:v>El sistema deniega la operación sin exponer datos ajenos y registra el evento de seguridad cuando corresponde.</x:v>
      </x:c>
      <x:c r="H84" s="18" t="str">
        <x:v>ALZ-PT-020</x:v>
      </x:c>
    </x:row>
    <x:row r="85">
      <x:c r="A85" s="18" t="str">
        <x:v>ALZ-HU-020</x:v>
      </x:c>
      <x:c r="B85" s="18" t="str">
        <x:v>ALZ-HU-020-E4</x:v>
      </x:c>
      <x:c r="C85" s="19" t="n">
        <x:v>4</x:v>
      </x:c>
      <x:c r="D85" s="18" t="str">
        <x:v>Organización con dependencias</x:v>
      </x:c>
      <x:c r="E85" s="18" t="str">
        <x:v>La organización contiene usuarios, clases o documentos.</x:v>
      </x:c>
      <x:c r="F85" s="18" t="str">
        <x:v>El administrador solicita eliminarla.</x:v>
      </x:c>
      <x:c r="G85" s="18" t="str">
        <x:v>Se ofrece archivado, se bloquea la eliminación física y se conserva auditoría.</x:v>
      </x:c>
      <x:c r="H85" s="18" t="str">
        <x:v>ALZ-PT-020</x:v>
      </x:c>
    </x:row>
    <x:row r="86">
      <x:c r="A86" s="18" t="str">
        <x:v>ALZ-HU-021</x:v>
      </x:c>
      <x:c r="B86" s="18" t="str">
        <x:v>ALZ-HU-021-E1</x:v>
      </x:c>
      <x:c r="C86" s="19" t="n">
        <x:v>1</x:v>
      </x:c>
      <x:c r="D86" s="18" t="str">
        <x:v>Flujo autorizado</x:v>
      </x:c>
      <x:c r="E86" s="18" t="str">
        <x:v>La persona actúa como administrador, posee sesión válida y opera dentro de su organización.</x:v>
      </x:c>
      <x:c r="F86" s="18" t="str">
        <x:v>Solicita la operación «Administrar usuarios y roles».</x:v>
      </x:c>
      <x:c r="G86" s="18" t="str">
        <x:v>El sistema completa «Administrar usuarios y roles», entrega el resultado esperado y conserva la trazabilidad necesaria.</x:v>
      </x:c>
      <x:c r="H86" s="18" t="str">
        <x:v>ALZ-PT-021</x:v>
      </x:c>
    </x:row>
    <x:row r="87">
      <x:c r="A87" s="18" t="str">
        <x:v>ALZ-HU-021</x:v>
      </x:c>
      <x:c r="B87" s="18" t="str">
        <x:v>ALZ-HU-021-E2</x:v>
      </x:c>
      <x:c r="C87" s="19" t="n">
        <x:v>2</x:v>
      </x:c>
      <x:c r="D87" s="18" t="str">
        <x:v>Datos inválidos o incompletos</x:v>
      </x:c>
      <x:c r="E87" s="18" t="str">
        <x:v>Falta un dato obligatorio o un valor no cumple el contrato definido.</x:v>
      </x:c>
      <x:c r="F87" s="18" t="str">
        <x:v>La persona intenta ejecutar la operación «Administrar usuarios y roles».</x:v>
      </x:c>
      <x:c r="G87" s="18" t="str">
        <x:v>El sistema rechaza la solicitud, identifica los campos corregibles y no altera el estado previo.</x:v>
      </x:c>
      <x:c r="H87" s="18" t="str">
        <x:v>ALZ-PT-021</x:v>
      </x:c>
    </x:row>
    <x:row r="88">
      <x:c r="A88" s="18" t="str">
        <x:v>ALZ-HU-021</x:v>
      </x:c>
      <x:c r="B88" s="18" t="str">
        <x:v>ALZ-HU-021-E3</x:v>
      </x:c>
      <x:c r="C88" s="19" t="n">
        <x:v>3</x:v>
      </x:c>
      <x:c r="D88" s="18" t="str">
        <x:v>Permiso o aislamiento insuficiente</x:v>
      </x:c>
      <x:c r="E88" s="18" t="str">
        <x:v>La sesión no posee el rol requerido o el recurso pertenece a otra organización.</x:v>
      </x:c>
      <x:c r="F88" s="18" t="str">
        <x:v>La persona intenta ejecutar la operación «Administrar usuarios y roles».</x:v>
      </x:c>
      <x:c r="G88" s="18" t="str">
        <x:v>El sistema deniega la operación sin exponer datos ajenos y registra el evento de seguridad cuando corresponde.</x:v>
      </x:c>
      <x:c r="H88" s="18" t="str">
        <x:v>ALZ-PT-021</x:v>
      </x:c>
    </x:row>
    <x:row r="89">
      <x:c r="A89" s="18" t="str">
        <x:v>ALZ-HU-021</x:v>
      </x:c>
      <x:c r="B89" s="18" t="str">
        <x:v>ALZ-HU-021-E4</x:v>
      </x:c>
      <x:c r="C89" s="19" t="n">
        <x:v>4</x:v>
      </x:c>
      <x:c r="D89" s="18" t="str">
        <x:v>Último administrador activo</x:v>
      </x:c>
      <x:c r="E89" s="18" t="str">
        <x:v>La organización conserva un solo administrador ACTIVE.</x:v>
      </x:c>
      <x:c r="F89" s="18" t="str">
        <x:v>Se intenta deshabilitarlo o quitar su rol.</x:v>
      </x:c>
      <x:c r="G89" s="18" t="str">
        <x:v>El sistema bloquea la operación para evitar una organización sin administración.</x:v>
      </x:c>
      <x:c r="H89" s="18" t="str">
        <x:v>ALZ-PT-021</x:v>
      </x:c>
    </x:row>
    <x:row r="90">
      <x:c r="A90" s="18" t="str">
        <x:v>ALZ-HU-022</x:v>
      </x:c>
      <x:c r="B90" s="18" t="str">
        <x:v>ALZ-HU-022-E1</x:v>
      </x:c>
      <x:c r="C90" s="19" t="n">
        <x:v>1</x:v>
      </x:c>
      <x:c r="D90" s="18" t="str">
        <x:v>Flujo autorizado</x:v>
      </x:c>
      <x:c r="E90" s="18" t="str">
        <x:v>La persona actúa como administrador, posee sesión válida y opera dentro de su organización.</x:v>
      </x:c>
      <x:c r="F90" s="18" t="str">
        <x:v>Solicita la operación «Gobernar cursos y clases».</x:v>
      </x:c>
      <x:c r="G90" s="18" t="str">
        <x:v>El sistema completa «Gobernar cursos y clases», entrega el resultado esperado y conserva la trazabilidad necesaria.</x:v>
      </x:c>
      <x:c r="H90" s="18" t="str">
        <x:v>ALZ-PT-022</x:v>
      </x:c>
    </x:row>
    <x:row r="91">
      <x:c r="A91" s="18" t="str">
        <x:v>ALZ-HU-022</x:v>
      </x:c>
      <x:c r="B91" s="18" t="str">
        <x:v>ALZ-HU-022-E2</x:v>
      </x:c>
      <x:c r="C91" s="19" t="n">
        <x:v>2</x:v>
      </x:c>
      <x:c r="D91" s="18" t="str">
        <x:v>Datos inválidos o incompletos</x:v>
      </x:c>
      <x:c r="E91" s="18" t="str">
        <x:v>Falta un dato obligatorio o un valor no cumple el contrato definido.</x:v>
      </x:c>
      <x:c r="F91" s="18" t="str">
        <x:v>La persona intenta ejecutar la operación «Gobernar cursos y clases».</x:v>
      </x:c>
      <x:c r="G91" s="18" t="str">
        <x:v>El sistema rechaza la solicitud, identifica los campos corregibles y no altera el estado previo.</x:v>
      </x:c>
      <x:c r="H91" s="18" t="str">
        <x:v>ALZ-PT-022</x:v>
      </x:c>
    </x:row>
    <x:row r="92">
      <x:c r="A92" s="18" t="str">
        <x:v>ALZ-HU-022</x:v>
      </x:c>
      <x:c r="B92" s="18" t="str">
        <x:v>ALZ-HU-022-E3</x:v>
      </x:c>
      <x:c r="C92" s="19" t="n">
        <x:v>3</x:v>
      </x:c>
      <x:c r="D92" s="18" t="str">
        <x:v>Permiso o aislamiento insuficiente</x:v>
      </x:c>
      <x:c r="E92" s="18" t="str">
        <x:v>La sesión no posee el rol requerido o el recurso pertenece a otra organización.</x:v>
      </x:c>
      <x:c r="F92" s="18" t="str">
        <x:v>La persona intenta ejecutar la operación «Gobernar cursos y clases».</x:v>
      </x:c>
      <x:c r="G92" s="18" t="str">
        <x:v>El sistema deniega la operación sin exponer datos ajenos y registra el evento de seguridad cuando corresponde.</x:v>
      </x:c>
      <x:c r="H92" s="18" t="str">
        <x:v>ALZ-PT-022</x:v>
      </x:c>
    </x:row>
    <x:row r="93">
      <x:c r="A93" s="18" t="str">
        <x:v>ALZ-HU-022</x:v>
      </x:c>
      <x:c r="B93" s="18" t="str">
        <x:v>ALZ-HU-022-E4</x:v>
      </x:c>
      <x:c r="C93" s="19" t="n">
        <x:v>4</x:v>
      </x:c>
      <x:c r="D93" s="18" t="str">
        <x:v>Profesor de otra organización</x:v>
      </x:c>
      <x:c r="E93" s="18" t="str">
        <x:v>El profesor no pertenece a la organización de la clase.</x:v>
      </x:c>
      <x:c r="F93" s="18" t="str">
        <x:v>El administrador intenta asignarlo.</x:v>
      </x:c>
      <x:c r="G93" s="18" t="str">
        <x:v>La operación se rechaza por aislamiento multi-organización.</x:v>
      </x:c>
      <x:c r="H93" s="18" t="str">
        <x:v>ALZ-PT-022</x:v>
      </x:c>
    </x:row>
    <x:row r="94">
      <x:c r="A94" s="18" t="str">
        <x:v>ALZ-HU-023</x:v>
      </x:c>
      <x:c r="B94" s="18" t="str">
        <x:v>ALZ-HU-023-E1</x:v>
      </x:c>
      <x:c r="C94" s="19" t="n">
        <x:v>1</x:v>
      </x:c>
      <x:c r="D94" s="18" t="str">
        <x:v>Flujo autorizado</x:v>
      </x:c>
      <x:c r="E94" s="18" t="str">
        <x:v>La persona actúa como administrador, posee sesión válida y opera dentro de su organización.</x:v>
      </x:c>
      <x:c r="F94" s="18" t="str">
        <x:v>Solicita la operación «Administrar taxonomía».</x:v>
      </x:c>
      <x:c r="G94" s="18" t="str">
        <x:v>El sistema completa «Administrar taxonomía», entrega el resultado esperado y conserva la trazabilidad necesaria.</x:v>
      </x:c>
      <x:c r="H94" s="18" t="str">
        <x:v>ALZ-PT-023</x:v>
      </x:c>
    </x:row>
    <x:row r="95">
      <x:c r="A95" s="18" t="str">
        <x:v>ALZ-HU-023</x:v>
      </x:c>
      <x:c r="B95" s="18" t="str">
        <x:v>ALZ-HU-023-E2</x:v>
      </x:c>
      <x:c r="C95" s="19" t="n">
        <x:v>2</x:v>
      </x:c>
      <x:c r="D95" s="18" t="str">
        <x:v>Datos inválidos o incompletos</x:v>
      </x:c>
      <x:c r="E95" s="18" t="str">
        <x:v>Falta un dato obligatorio o un valor no cumple el contrato definido.</x:v>
      </x:c>
      <x:c r="F95" s="18" t="str">
        <x:v>La persona intenta ejecutar la operación «Administrar taxonomía».</x:v>
      </x:c>
      <x:c r="G95" s="18" t="str">
        <x:v>El sistema rechaza la solicitud, identifica los campos corregibles y no altera el estado previo.</x:v>
      </x:c>
      <x:c r="H95" s="18" t="str">
        <x:v>ALZ-PT-023</x:v>
      </x:c>
    </x:row>
    <x:row r="96">
      <x:c r="A96" s="18" t="str">
        <x:v>ALZ-HU-023</x:v>
      </x:c>
      <x:c r="B96" s="18" t="str">
        <x:v>ALZ-HU-023-E3</x:v>
      </x:c>
      <x:c r="C96" s="19" t="n">
        <x:v>3</x:v>
      </x:c>
      <x:c r="D96" s="18" t="str">
        <x:v>Permiso o aislamiento insuficiente</x:v>
      </x:c>
      <x:c r="E96" s="18" t="str">
        <x:v>La sesión no posee el rol requerido o el recurso pertenece a otra organización.</x:v>
      </x:c>
      <x:c r="F96" s="18" t="str">
        <x:v>La persona intenta ejecutar la operación «Administrar taxonomía».</x:v>
      </x:c>
      <x:c r="G96" s="18" t="str">
        <x:v>El sistema deniega la operación sin exponer datos ajenos y registra el evento de seguridad cuando corresponde.</x:v>
      </x:c>
      <x:c r="H96" s="18" t="str">
        <x:v>ALZ-PT-023</x:v>
      </x:c>
    </x:row>
    <x:row r="97">
      <x:c r="A97" s="18" t="str">
        <x:v>ALZ-HU-023</x:v>
      </x:c>
      <x:c r="B97" s="18" t="str">
        <x:v>ALZ-HU-023-E4</x:v>
      </x:c>
      <x:c r="C97" s="19" t="n">
        <x:v>4</x:v>
      </x:c>
      <x:c r="D97" s="18" t="str">
        <x:v>Concepto en uso</x:v>
      </x:c>
      <x:c r="E97" s="18" t="str">
        <x:v>El concepto está asociado a ejercicios o actividades.</x:v>
      </x:c>
      <x:c r="F97" s="18" t="str">
        <x:v>El administrador solicita eliminarlo.</x:v>
      </x:c>
      <x:c r="G97" s="18" t="str">
        <x:v>Se permite archivarlo o reemplazarlo, sin romper referencias históricas.</x:v>
      </x:c>
      <x:c r="H97" s="18" t="str">
        <x:v>ALZ-PT-023</x:v>
      </x:c>
    </x:row>
    <x:row r="98">
      <x:c r="A98" s="18" t="str">
        <x:v>ALZ-HU-024</x:v>
      </x:c>
      <x:c r="B98" s="18" t="str">
        <x:v>ALZ-HU-024-E1</x:v>
      </x:c>
      <x:c r="C98" s="19" t="n">
        <x:v>1</x:v>
      </x:c>
      <x:c r="D98" s="18" t="str">
        <x:v>Flujo autorizado</x:v>
      </x:c>
      <x:c r="E98" s="18" t="str">
        <x:v>La persona actúa como administrador, posee sesión válida y opera dentro de su organización.</x:v>
      </x:c>
      <x:c r="F98" s="18" t="str">
        <x:v>Solicita la operación «Gobernar banco de ejercicios».</x:v>
      </x:c>
      <x:c r="G98" s="18" t="str">
        <x:v>El sistema completa «Gobernar banco de ejercicios», entrega el resultado esperado y conserva la trazabilidad necesaria.</x:v>
      </x:c>
      <x:c r="H98" s="18" t="str">
        <x:v>ALZ-PT-024</x:v>
      </x:c>
    </x:row>
    <x:row r="99">
      <x:c r="A99" s="18" t="str">
        <x:v>ALZ-HU-024</x:v>
      </x:c>
      <x:c r="B99" s="18" t="str">
        <x:v>ALZ-HU-024-E2</x:v>
      </x:c>
      <x:c r="C99" s="19" t="n">
        <x:v>2</x:v>
      </x:c>
      <x:c r="D99" s="18" t="str">
        <x:v>Datos inválidos o incompletos</x:v>
      </x:c>
      <x:c r="E99" s="18" t="str">
        <x:v>Falta un dato obligatorio o un valor no cumple el contrato definido.</x:v>
      </x:c>
      <x:c r="F99" s="18" t="str">
        <x:v>La persona intenta ejecutar la operación «Gobernar banco de ejercicios».</x:v>
      </x:c>
      <x:c r="G99" s="18" t="str">
        <x:v>El sistema rechaza la solicitud, identifica los campos corregibles y no altera el estado previo.</x:v>
      </x:c>
      <x:c r="H99" s="18" t="str">
        <x:v>ALZ-PT-024</x:v>
      </x:c>
    </x:row>
    <x:row r="100">
      <x:c r="A100" s="18" t="str">
        <x:v>ALZ-HU-024</x:v>
      </x:c>
      <x:c r="B100" s="18" t="str">
        <x:v>ALZ-HU-024-E3</x:v>
      </x:c>
      <x:c r="C100" s="19" t="n">
        <x:v>3</x:v>
      </x:c>
      <x:c r="D100" s="18" t="str">
        <x:v>Permiso o aislamiento insuficiente</x:v>
      </x:c>
      <x:c r="E100" s="18" t="str">
        <x:v>La sesión no posee el rol requerido o el recurso pertenece a otra organización.</x:v>
      </x:c>
      <x:c r="F100" s="18" t="str">
        <x:v>La persona intenta ejecutar la operación «Gobernar banco de ejercicios».</x:v>
      </x:c>
      <x:c r="G100" s="18" t="str">
        <x:v>El sistema deniega la operación sin exponer datos ajenos y registra el evento de seguridad cuando corresponde.</x:v>
      </x:c>
      <x:c r="H100" s="18" t="str">
        <x:v>ALZ-PT-024</x:v>
      </x:c>
    </x:row>
    <x:row r="101">
      <x:c r="A101" s="18" t="str">
        <x:v>ALZ-HU-024</x:v>
      </x:c>
      <x:c r="B101" s="18" t="str">
        <x:v>ALZ-HU-024-E4</x:v>
      </x:c>
      <x:c r="C101" s="19" t="n">
        <x:v>4</x:v>
      </x:c>
      <x:c r="D101" s="18" t="str">
        <x:v>Ejercicio publicado en una actividad</x:v>
      </x:c>
      <x:c r="E101" s="18" t="str">
        <x:v>Una versión está referenciada por una actividad PUBLISHED.</x:v>
      </x:c>
      <x:c r="F101" s="18" t="str">
        <x:v>El administrador solicita modificarla.</x:v>
      </x:c>
      <x:c r="G101" s="18" t="str">
        <x:v>Se crea una nueva versión; la referencia publicada conserva la anterior.</x:v>
      </x:c>
      <x:c r="H101" s="18" t="str">
        <x:v>ALZ-PT-024</x:v>
      </x:c>
    </x:row>
    <x:row r="102">
      <x:c r="A102" s="18" t="str">
        <x:v>ALZ-HU-025</x:v>
      </x:c>
      <x:c r="B102" s="18" t="str">
        <x:v>ALZ-HU-025-E1</x:v>
      </x:c>
      <x:c r="C102" s="19" t="n">
        <x:v>1</x:v>
      </x:c>
      <x:c r="D102" s="18" t="str">
        <x:v>Flujo autorizado</x:v>
      </x:c>
      <x:c r="E102" s="18" t="str">
        <x:v>La persona actúa como administrador, posee sesión válida y opera dentro de su organización.</x:v>
      </x:c>
      <x:c r="F102" s="18" t="str">
        <x:v>Solicita la operación «Gobernar materiales RAG».</x:v>
      </x:c>
      <x:c r="G102" s="18" t="str">
        <x:v>El sistema completa «Gobernar materiales RAG», entrega el resultado esperado y conserva la trazabilidad necesaria.</x:v>
      </x:c>
      <x:c r="H102" s="18" t="str">
        <x:v>ALZ-PT-025</x:v>
      </x:c>
    </x:row>
    <x:row r="103">
      <x:c r="A103" s="18" t="str">
        <x:v>ALZ-HU-025</x:v>
      </x:c>
      <x:c r="B103" s="18" t="str">
        <x:v>ALZ-HU-025-E2</x:v>
      </x:c>
      <x:c r="C103" s="19" t="n">
        <x:v>2</x:v>
      </x:c>
      <x:c r="D103" s="18" t="str">
        <x:v>Datos inválidos o incompletos</x:v>
      </x:c>
      <x:c r="E103" s="18" t="str">
        <x:v>Falta un dato obligatorio o un valor no cumple el contrato definido.</x:v>
      </x:c>
      <x:c r="F103" s="18" t="str">
        <x:v>La persona intenta ejecutar la operación «Gobernar materiales RAG».</x:v>
      </x:c>
      <x:c r="G103" s="18" t="str">
        <x:v>El sistema rechaza la solicitud, identifica los campos corregibles y no altera el estado previo.</x:v>
      </x:c>
      <x:c r="H103" s="18" t="str">
        <x:v>ALZ-PT-025</x:v>
      </x:c>
    </x:row>
    <x:row r="104">
      <x:c r="A104" s="18" t="str">
        <x:v>ALZ-HU-025</x:v>
      </x:c>
      <x:c r="B104" s="18" t="str">
        <x:v>ALZ-HU-025-E3</x:v>
      </x:c>
      <x:c r="C104" s="19" t="n">
        <x:v>3</x:v>
      </x:c>
      <x:c r="D104" s="18" t="str">
        <x:v>Permiso o aislamiento insuficiente</x:v>
      </x:c>
      <x:c r="E104" s="18" t="str">
        <x:v>La sesión no posee el rol requerido o el recurso pertenece a otra organización.</x:v>
      </x:c>
      <x:c r="F104" s="18" t="str">
        <x:v>La persona intenta ejecutar la operación «Gobernar materiales RAG».</x:v>
      </x:c>
      <x:c r="G104" s="18" t="str">
        <x:v>El sistema deniega la operación sin exponer datos ajenos y registra el evento de seguridad cuando corresponde.</x:v>
      </x:c>
      <x:c r="H104" s="18" t="str">
        <x:v>ALZ-PT-025</x:v>
      </x:c>
    </x:row>
    <x:row r="105">
      <x:c r="A105" s="18" t="str">
        <x:v>ALZ-HU-025</x:v>
      </x:c>
      <x:c r="B105" s="18" t="str">
        <x:v>ALZ-HU-025-E4</x:v>
      </x:c>
      <x:c r="C105" s="19" t="n">
        <x:v>4</x:v>
      </x:c>
      <x:c r="D105" s="18" t="str">
        <x:v>Documento de otra organización</x:v>
      </x:c>
      <x:c r="E105" s="18" t="str">
        <x:v>El material pertenece a una organización distinta.</x:v>
      </x:c>
      <x:c r="F105" s="18" t="str">
        <x:v>Se intenta recuperar o reasignar el documento.</x:v>
      </x:c>
      <x:c r="G105" s="18" t="str">
        <x:v>El filtro de organización y clase lo excluye y la acción queda auditada.</x:v>
      </x:c>
      <x:c r="H105" s="18" t="str">
        <x:v>ALZ-PT-025</x:v>
      </x:c>
    </x:row>
    <x:row r="106">
      <x:c r="A106" s="18" t="str">
        <x:v>ALZ-HU-026</x:v>
      </x:c>
      <x:c r="B106" s="18" t="str">
        <x:v>ALZ-HU-026-E1</x:v>
      </x:c>
      <x:c r="C106" s="19" t="n">
        <x:v>1</x:v>
      </x:c>
      <x:c r="D106" s="18" t="str">
        <x:v>Flujo autorizado</x:v>
      </x:c>
      <x:c r="E106" s="18" t="str">
        <x:v>La persona actúa como administrador, posee sesión válida y opera dentro de su organización.</x:v>
      </x:c>
      <x:c r="F106" s="18" t="str">
        <x:v>Solicita la operación «Versionar reglas de señales».</x:v>
      </x:c>
      <x:c r="G106" s="18" t="str">
        <x:v>El sistema completa «Versionar reglas de señales», entrega el resultado esperado y conserva la trazabilidad necesaria.</x:v>
      </x:c>
      <x:c r="H106" s="18" t="str">
        <x:v>ALZ-PT-026</x:v>
      </x:c>
    </x:row>
    <x:row r="107">
      <x:c r="A107" s="18" t="str">
        <x:v>ALZ-HU-026</x:v>
      </x:c>
      <x:c r="B107" s="18" t="str">
        <x:v>ALZ-HU-026-E2</x:v>
      </x:c>
      <x:c r="C107" s="19" t="n">
        <x:v>2</x:v>
      </x:c>
      <x:c r="D107" s="18" t="str">
        <x:v>Datos inválidos o incompletos</x:v>
      </x:c>
      <x:c r="E107" s="18" t="str">
        <x:v>Falta un dato obligatorio o un valor no cumple el contrato definido.</x:v>
      </x:c>
      <x:c r="F107" s="18" t="str">
        <x:v>La persona intenta ejecutar la operación «Versionar reglas de señales».</x:v>
      </x:c>
      <x:c r="G107" s="18" t="str">
        <x:v>El sistema rechaza la solicitud, identifica los campos corregibles y no altera el estado previo.</x:v>
      </x:c>
      <x:c r="H107" s="18" t="str">
        <x:v>ALZ-PT-026</x:v>
      </x:c>
    </x:row>
    <x:row r="108">
      <x:c r="A108" s="18" t="str">
        <x:v>ALZ-HU-026</x:v>
      </x:c>
      <x:c r="B108" s="18" t="str">
        <x:v>ALZ-HU-026-E3</x:v>
      </x:c>
      <x:c r="C108" s="19" t="n">
        <x:v>3</x:v>
      </x:c>
      <x:c r="D108" s="18" t="str">
        <x:v>Permiso o aislamiento insuficiente</x:v>
      </x:c>
      <x:c r="E108" s="18" t="str">
        <x:v>La sesión no posee el rol requerido o el recurso pertenece a otra organización.</x:v>
      </x:c>
      <x:c r="F108" s="18" t="str">
        <x:v>La persona intenta ejecutar la operación «Versionar reglas de señales».</x:v>
      </x:c>
      <x:c r="G108" s="18" t="str">
        <x:v>El sistema deniega la operación sin exponer datos ajenos y registra el evento de seguridad cuando corresponde.</x:v>
      </x:c>
      <x:c r="H108" s="18" t="str">
        <x:v>ALZ-PT-026</x:v>
      </x:c>
    </x:row>
    <x:row r="109">
      <x:c r="A109" s="18" t="str">
        <x:v>ALZ-HU-026</x:v>
      </x:c>
      <x:c r="B109" s="18" t="str">
        <x:v>ALZ-HU-026-E4</x:v>
      </x:c>
      <x:c r="C109" s="19" t="n">
        <x:v>4</x:v>
      </x:c>
      <x:c r="D109" s="18" t="str">
        <x:v>Configuración inválida</x:v>
      </x:c>
      <x:c r="E109" s="18" t="str">
        <x:v>Un umbral es negativo, incompleto o inconsistente.</x:v>
      </x:c>
      <x:c r="F109" s="18" t="str">
        <x:v>El administrador intenta publicarlo.</x:v>
      </x:c>
      <x:c r="G109" s="18" t="str">
        <x:v>El sistema rechaza la versión y mantiene vigente la configuración anterior.</x:v>
      </x:c>
      <x:c r="H109" s="18" t="str">
        <x:v>ALZ-PT-026</x:v>
      </x:c>
    </x:row>
    <x:row r="110">
      <x:c r="A110" s="18" t="str">
        <x:v>ALZ-HU-027</x:v>
      </x:c>
      <x:c r="B110" s="18" t="str">
        <x:v>ALZ-HU-027-E1</x:v>
      </x:c>
      <x:c r="C110" s="19" t="n">
        <x:v>1</x:v>
      </x:c>
      <x:c r="D110" s="18" t="str">
        <x:v>Flujo autorizado</x:v>
      </x:c>
      <x:c r="E110" s="18" t="str">
        <x:v>La persona actúa como administrador, posee sesión válida y opera dentro de su organización.</x:v>
      </x:c>
      <x:c r="F110" s="18" t="str">
        <x:v>Solicita la operación «Auditoría y exportación».</x:v>
      </x:c>
      <x:c r="G110" s="18" t="str">
        <x:v>El sistema completa «Auditoría y exportación», entrega el resultado esperado y conserva la trazabilidad necesaria.</x:v>
      </x:c>
      <x:c r="H110" s="18" t="str">
        <x:v>ALZ-PT-027</x:v>
      </x:c>
    </x:row>
    <x:row r="111">
      <x:c r="A111" s="18" t="str">
        <x:v>ALZ-HU-027</x:v>
      </x:c>
      <x:c r="B111" s="18" t="str">
        <x:v>ALZ-HU-027-E2</x:v>
      </x:c>
      <x:c r="C111" s="19" t="n">
        <x:v>2</x:v>
      </x:c>
      <x:c r="D111" s="18" t="str">
        <x:v>Datos inválidos o incompletos</x:v>
      </x:c>
      <x:c r="E111" s="18" t="str">
        <x:v>Falta un dato obligatorio o un valor no cumple el contrato definido.</x:v>
      </x:c>
      <x:c r="F111" s="18" t="str">
        <x:v>La persona intenta ejecutar la operación «Auditoría y exportación».</x:v>
      </x:c>
      <x:c r="G111" s="18" t="str">
        <x:v>El sistema rechaza la solicitud, identifica los campos corregibles y no altera el estado previo.</x:v>
      </x:c>
      <x:c r="H111" s="18" t="str">
        <x:v>ALZ-PT-027</x:v>
      </x:c>
    </x:row>
    <x:row r="112">
      <x:c r="A112" s="18" t="str">
        <x:v>ALZ-HU-027</x:v>
      </x:c>
      <x:c r="B112" s="18" t="str">
        <x:v>ALZ-HU-027-E3</x:v>
      </x:c>
      <x:c r="C112" s="19" t="n">
        <x:v>3</x:v>
      </x:c>
      <x:c r="D112" s="18" t="str">
        <x:v>Permiso o aislamiento insuficiente</x:v>
      </x:c>
      <x:c r="E112" s="18" t="str">
        <x:v>La sesión no posee el rol requerido o el recurso pertenece a otra organización.</x:v>
      </x:c>
      <x:c r="F112" s="18" t="str">
        <x:v>La persona intenta ejecutar la operación «Auditoría y exportación».</x:v>
      </x:c>
      <x:c r="G112" s="18" t="str">
        <x:v>El sistema deniega la operación sin exponer datos ajenos y registra el evento de seguridad cuando corresponde.</x:v>
      </x:c>
      <x:c r="H112" s="18" t="str">
        <x:v>ALZ-PT-027</x:v>
      </x:c>
    </x:row>
    <x:row r="113">
      <x:c r="A113" s="18" t="str">
        <x:v>ALZ-HU-027</x:v>
      </x:c>
      <x:c r="B113" s="18" t="str">
        <x:v>ALZ-HU-027-E4</x:v>
      </x:c>
      <x:c r="C113" s="19" t="n">
        <x:v>4</x:v>
      </x:c>
      <x:c r="D113" s="18" t="str">
        <x:v>Exportación sin resultados</x:v>
      </x:c>
      <x:c r="E113" s="18" t="str">
        <x:v>Los filtros válidos no encuentran registros.</x:v>
      </x:c>
      <x:c r="F113" s="18" t="str">
        <x:v>El administrador solicita el CSV.</x:v>
      </x:c>
      <x:c r="G113" s="18" t="str">
        <x:v>Se genera un archivo con encabezados, alcance y sello temporal, sin datos de otra organización.</x:v>
      </x:c>
      <x:c r="H113" s="18" t="str">
        <x:v>ALZ-PT-027</x:v>
      </x:c>
    </x:row>
    <x:row r="115" ht="32" customHeight="1">
      <x:c r="A115" s="23" t="str">
        <x:v>Datos y nombres de demostración: sintéticos. Los escenarios describen aceptación futura; no constituyen evidencia de ejecución al 02/09/2026.</x:v>
      </x:c>
      <x:c r="B115" s="23" t="str">
        <x:v>Datos y nombres de demostración: sintéticos. Los escenarios describen aceptación futura; no constituyen evidencia de ejecución al 02/09/2026.</x:v>
      </x:c>
      <x:c r="C115" s="23" t="str">
        <x:v>Datos y nombres de demostración: sintéticos. Los escenarios describen aceptación futura; no constituyen evidencia de ejecución al 02/09/2026.</x:v>
      </x:c>
      <x:c r="D115" s="23" t="str">
        <x:v>Datos y nombres de demostración: sintéticos. Los escenarios describen aceptación futura; no constituyen evidencia de ejecución al 02/09/2026.</x:v>
      </x:c>
      <x:c r="E115" s="23" t="str">
        <x:v>Datos y nombres de demostración: sintéticos. Los escenarios describen aceptación futura; no constituyen evidencia de ejecución al 02/09/2026.</x:v>
      </x:c>
      <x:c r="F115" s="23" t="str">
        <x:v>Datos y nombres de demostración: sintéticos. Los escenarios describen aceptación futura; no constituyen evidencia de ejecución al 02/09/2026.</x:v>
      </x:c>
      <x:c r="G115" s="23" t="str">
        <x:v>Datos y nombres de demostración: sintéticos. Los escenarios describen aceptación futura; no constituyen evidencia de ejecución al 02/09/2026.</x:v>
      </x:c>
      <x:c r="H115" s="23" t="str">
        <x:v>Datos y nombres de demostración: sintéticos. Los escenarios describen aceptación futura; no constituyen evidencia de ejecución al 02/09/2026.</x:v>
      </x:c>
    </x:row>
    <x:row r="116" ht="32" customHeight="1">
      <x:c r="A116" s="23" t="str">
        <x:v>Datos y nombres de demostración: sintéticos. Los escenarios describen aceptación futura; no constituyen evidencia de ejecución al 02/09/2026.</x:v>
      </x:c>
      <x:c r="B116" s="23" t="str">
        <x:v>Datos y nombres de demostración: sintéticos. Los escenarios describen aceptación futura; no constituyen evidencia de ejecución al 02/09/2026.</x:v>
      </x:c>
      <x:c r="C116" s="23" t="str">
        <x:v>Datos y nombres de demostración: sintéticos. Los escenarios describen aceptación futura; no constituyen evidencia de ejecución al 02/09/2026.</x:v>
      </x:c>
      <x:c r="D116" s="23" t="str">
        <x:v>Datos y nombres de demostración: sintéticos. Los escenarios describen aceptación futura; no constituyen evidencia de ejecución al 02/09/2026.</x:v>
      </x:c>
      <x:c r="E116" s="23" t="str">
        <x:v>Datos y nombres de demostración: sintéticos. Los escenarios describen aceptación futura; no constituyen evidencia de ejecución al 02/09/2026.</x:v>
      </x:c>
      <x:c r="F116" s="23" t="str">
        <x:v>Datos y nombres de demostración: sintéticos. Los escenarios describen aceptación futura; no constituyen evidencia de ejecución al 02/09/2026.</x:v>
      </x:c>
      <x:c r="G116" s="23" t="str">
        <x:v>Datos y nombres de demostración: sintéticos. Los escenarios describen aceptación futura; no constituyen evidencia de ejecución al 02/09/2026.</x:v>
      </x:c>
      <x:c r="H116" s="23" t="str">
        <x:v>Datos y nombres de demostración: sintéticos. Los escenarios describen aceptación futura; no constituyen evidencia de ejecución al 02/09/2026.</x:v>
      </x:c>
    </x:row>
  </x:sheetData>
  <x:mergeCells>
    <x:mergeCell ref="A1:H1"/>
    <x:mergeCell ref="A2:H2"/>
    <x:mergeCell ref="A115:H116"/>
  </x:mergeCells>
  <x:pageMargins left="0.7" right="0.7" top="0.75" bottom="0.75" header="0.3" footer="0.3"/>
  <x:tableParts count="1">
    <x:tablePart xmlns:r="http://schemas.openxmlformats.org/officeDocument/2006/relationships" r:id="R6592529ba686421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60" hidden="0" customWidth="1"/>
    <x:col min="3" max="3" width="5" hidden="0" customWidth="1"/>
    <x:col min="4" max="4" width="24" hidden="0" customWidth="1"/>
    <x:col min="5" max="5" width="46" hidden="0" customWidth="1"/>
    <x:col min="6" max="6" width="34" hidden="0" customWidth="1"/>
  </x:cols>
  <x:sheetData>
    <x:row r="1" ht="30" customHeight="1">
      <x:c r="A1" s="7" t="str">
        <x:v>Catálogos y reglas comunes</x:v>
      </x:c>
      <x:c r="B1" s="7"/>
      <x:c r="C1" s="7"/>
      <x:c r="D1" s="7"/>
      <x:c r="E1" s="7"/>
      <x:c r="F1" s="7"/>
    </x:row>
    <x:row r="2" ht="24" customHeight="1">
      <x:c r="A2" s="8" t="str">
        <x:v>Línea base aprobada internamente · versión documental 1.1</x:v>
      </x:c>
      <x:c r="B2" s="8"/>
      <x:c r="C2" s="8"/>
      <x:c r="D2" s="8"/>
      <x:c r="E2" s="8"/>
      <x:c r="F2" s="8"/>
    </x:row>
    <x:row r="4" ht="34" customHeight="1">
      <x:c r="A4" s="14" t="str">
        <x:v>Catálogo</x:v>
      </x:c>
      <x:c r="B4" s="14" t="str">
        <x:v>Valores autorizados</x:v>
      </x:c>
      <x:c r="D4" s="14" t="str">
        <x:v>Regla</x:v>
      </x:c>
      <x:c r="E4" s="14" t="str">
        <x:v>Línea base</x:v>
      </x:c>
      <x:c r="F4" s="14" t="str">
        <x:v>Observación</x:v>
      </x:c>
    </x:row>
    <x:row r="5">
      <x:c r="A5" s="18" t="str">
        <x:v>Diagnóstico</x:v>
      </x:c>
      <x:c r="B5" s="18" t="str">
        <x:v>SUCCESS · SYNTAX_ERROR · RUNTIME_ERROR · FAILED_TEST · TIMEOUT · UNKNOWN</x:v>
      </x:c>
      <x:c r="D5" s="18" t="str">
        <x:v>Inactividad</x:v>
      </x:c>
      <x:c r="E5" s="18" t="str">
        <x:v>7 días sin eventos</x:v>
      </x:c>
      <x:c r="F5" s="18" t="str">
        <x:v>Determinista</x:v>
      </x:c>
    </x:row>
    <x:row r="6">
      <x:c r="A6" s="18" t="str">
        <x:v>Estado RAG</x:v>
      </x:c>
      <x:c r="B6" s="18" t="str">
        <x:v>SUPPORTED · NO_EVIDENCE · PROVIDER_UNAVAILABLE</x:v>
      </x:c>
      <x:c r="D6" s="18" t="str">
        <x:v>Error repetido</x:v>
      </x:c>
      <x:c r="E6" s="18" t="str">
        <x:v>Mismo error técnico en 3 intentos consecutivos dentro de 14 días</x:v>
      </x:c>
      <x:c r="F6" s="18" t="str">
        <x:v>Determinista</x:v>
      </x:c>
    </x:row>
    <x:row r="7">
      <x:c r="A7" s="18" t="str">
        <x:v>Señal</x:v>
      </x:c>
      <x:c r="B7" s="18" t="str">
        <x:v>INACTIVITY · REPEATED_ERROR · STAGNATION</x:v>
      </x:c>
      <x:c r="D7" s="18" t="str">
        <x:v>Estancamiento</x:v>
      </x:c>
      <x:c r="E7" s="18" t="str">
        <x:v>3 intentos del ejercicio sin aumentar casos visibles superados</x:v>
      </x:c>
      <x:c r="F7" s="18" t="str">
        <x:v>Determinista</x:v>
      </x:c>
    </x:row>
    <x:row r="8">
      <x:c r="A8" s="18" t="str">
        <x:v>Estado de señal</x:v>
      </x:c>
      <x:c r="B8" s="18" t="str">
        <x:v>ACTIVE · REVIEWED</x:v>
      </x:c>
      <x:c r="D8" s="18" t="str">
        <x:v>Progreso</x:v>
      </x:c>
      <x:c r="E8" s="18" t="str">
        <x:v>Ejercicios completados / ejercicios requeridos</x:v>
      </x:c>
      <x:c r="F8" s="18" t="str">
        <x:v>Cálculo determinista</x:v>
      </x:c>
    </x:row>
    <x:row r="9">
      <x:c r="A9" s="18" t="str">
        <x:v>Actividad</x:v>
      </x:c>
      <x:c r="B9" s="18" t="str">
        <x:v>DRAFT · PUBLISHED · CLOSED</x:v>
      </x:c>
      <x:c r="D9" s="18" t="str">
        <x:v>RAG</x:v>
      </x:c>
      <x:c r="E9" s="18" t="str">
        <x:v>500 tokens; solapamiento 50; top-k=5</x:v>
      </x:c>
      <x:c r="F9" s="18" t="str">
        <x:v>Contrato: diagnosis_code, explanation, hint, source_refs y status</x:v>
      </x:c>
    </x:row>
    <x:row r="10">
      <x:c r="A10" s="18" t="str">
        <x:v>Usuario</x:v>
      </x:c>
      <x:c r="B10" s="18" t="str">
        <x:v>INVITED · ACTIVE · DISABLED</x:v>
      </x:c>
      <x:c r="D10" s="18" t="str">
        <x:v>Documentos</x:v>
      </x:c>
      <x:c r="E10" s="18" t="str">
        <x:v>PDF con texto, TXT o Markdown; máximo 10 MB</x:v>
      </x:c>
      <x:c r="F10" s="18" t="str">
        <x:v>Filtrado por organización y clase</x:v>
      </x:c>
    </x:row>
    <x:row r="11">
      <x:c r="D11" s="18" t="str">
        <x:v>Interfaz y API</x:v>
      </x:c>
      <x:c r="E11" s="18" t="str">
        <x:v>p95 &lt; 3 s</x:v>
      </x:c>
      <x:c r="F11" s="18" t="str">
        <x:v>Ejecución completa: p95 &lt; 5 s; proceso estudiantil máximo 3 s</x:v>
      </x:c>
    </x:row>
    <x:row r="12">
      <x:c r="D12" s="18" t="str">
        <x:v>Respuesta IA</x:v>
      </x:c>
      <x:c r="E12" s="18" t="str">
        <x:v>p95 &lt; 12 s</x:v>
      </x:c>
      <x:c r="F12" s="18" t="str">
        <x:v>Conjunto de prueba</x:v>
      </x:c>
    </x:row>
    <x:row r="13">
      <x:c r="D13" s="18" t="str">
        <x:v>Accesibilidad</x:v>
      </x:c>
      <x:c r="E13" s="18" t="str">
        <x:v>WCAG 2.2 AA</x:v>
      </x:c>
      <x:c r="F13" s="18" t="str">
        <x:v>Objetivo del MVP</x:v>
      </x:c>
    </x:row>
  </x:sheetData>
  <x:mergeCells>
    <x:mergeCell ref="A1:F1"/>
    <x:mergeCell ref="A2:F2"/>
  </x:mergeCells>
  <x:pageMargins left="0.7" right="0.7" top="0.75" bottom="0.75" header="0.3" footer="0.3"/>
</x:worksheet>
</file>