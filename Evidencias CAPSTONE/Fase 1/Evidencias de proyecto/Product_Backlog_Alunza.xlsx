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0ba4cfc9c4b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c5859b63330491e"/>
    <x:sheet xmlns:r="http://schemas.openxmlformats.org/officeDocument/2006/relationships" name="Product Backlog" sheetId="2" r:id="R0761b5dd47ae49ad"/>
    <x:sheet xmlns:r="http://schemas.openxmlformats.org/officeDocument/2006/relationships" name="Criterios y exclusiones" sheetId="3" r:id="Ra4645da814c8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23B5D"/>
      <x:name val="Carlito"/>
    </x:font>
    <x:font>
      <x:b/>
      <x:sz val="10"/>
      <x:color rgb="FFFFFFFF"/>
      <x:name val="Carlito"/>
    </x:font>
    <x:font>
      <x:sz val="9"/>
      <x:color rgb="FF172B3A"/>
      <x:name val="Carlito"/>
    </x:font>
    <x:font>
      <x:i/>
      <x:sz val="9"/>
      <x:color rgb="FF123B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A42"/>
      </x:patternFill>
    </x:fill>
    <x:fill>
      <x:patternFill patternType="solid">
        <x:fgColor rgb="FFEAF2F8"/>
      </x:patternFill>
    </x:fill>
    <x:fill>
      <x:patternFill patternType="solid">
        <x:fgColor rgb="FF123B5D"/>
      </x:patternFill>
    </x:fill>
    <x:fill>
      <x:patternFill patternType="solid">
        <x:fgColor rgb="FFDDF5F3"/>
      </x:patternFill>
    </x:fill>
  </x:fills>
  <x:borders count="2">
    <x:border/>
    <x:border>
      <x:left style="thin">
        <x:color rgb="FFCBD8E2"/>
      </x:left>
      <x:right style="thin">
        <x:color rgb="FFCBD8E2"/>
      </x:right>
      <x:top style="thin">
        <x:color rgb="FFCBD8E2"/>
      </x:top>
      <x:bottom style="thin">
        <x:color rgb="FFCBD8E2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A3261D"/>
      </x:font>
      <x:fill>
        <x:patternFill>
          <x:bgColor rgb="FFFDE8E7"/>
        </x:patternFill>
      </x:fill>
    </x:dxf>
    <x:dxf>
      <x:font>
        <x:b/>
        <x:color rgb="FF8A5A00"/>
      </x:font>
      <x:fill>
        <x:patternFill>
          <x:bgColor rgb="FFFFF4D6"/>
        </x:patternFill>
      </x:fill>
    </x:dxf>
    <x:dxf>
      <x:font>
        <x:b/>
        <x:color rgb="FF123B5D"/>
      </x:font>
      <x:fill>
        <x:patternFill>
          <x:bgColor rgb="FFEAF2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ba02019e2f47ab" /><Relationship Type="http://schemas.openxmlformats.org/officeDocument/2006/relationships/theme" Target="/xl/theme/theme1.xml" Id="Rb9997c36893f4192" /><Relationship Type="http://schemas.openxmlformats.org/officeDocument/2006/relationships/sharedStrings" Target="/xl/sharedStrings.xml" Id="Rded1356259f6492f" /><Relationship Type="http://schemas.openxmlformats.org/officeDocument/2006/relationships/worksheet" Target="/xl/worksheets/sheet1.xml" Id="R1c5859b63330491e" /><Relationship Type="http://schemas.openxmlformats.org/officeDocument/2006/relationships/worksheet" Target="/xl/worksheets/sheet2.xml" Id="R0761b5dd47ae49ad" /><Relationship Type="http://schemas.openxmlformats.org/officeDocument/2006/relationships/worksheet" Target="/xl/worksheets/sheet3.xml" Id="Ra4645da814c84bce" /></Relationships>
</file>

<file path=xl/tables/table1.xml><?xml version="1.0" encoding="utf-8"?>
<x:table xmlns:x="http://schemas.openxmlformats.org/spreadsheetml/2006/main" id="1" name="ProductBacklogAlunza" displayName="ProductBacklogAlunza" ref="A5:M32" headerRowCount="1" totalsRowCount="0" totalsRowShown="0">
  <x:tableColumns count="13">
    <x:tableColumn id="1" name="ID HU"/>
    <x:tableColumn id="2" name="Enunciado"/>
    <x:tableColumn id="3" name="Alias"/>
    <x:tableColumn id="4" name="Prioridad"/>
    <x:tableColumn id="5" name="Estado"/>
    <x:tableColumn id="6" name="Puntos"/>
    <x:tableColumn id="7" name="Sprint"/>
    <x:tableColumn id="8" name="Responsable"/>
    <x:tableColumn id="9" name="Dependencias"/>
    <x:tableColumn id="10" name="RF"/>
    <x:tableColumn id="11" name="CU"/>
    <x:tableColumn id="12" name="Prueba"/>
    <x:tableColumn id="13" name="Criterio de salid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51ec11cbec48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6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7" t="str">
        <x:v>Alunza — Resumen del Product Backlog</x:v>
      </x:c>
      <x:c r="B1" s="7"/>
      <x:c r="C1" s="7"/>
      <x:c r="D1" s="7"/>
      <x:c r="E1" s="7"/>
      <x:c r="F1" s="7"/>
      <x:c r="G1" s="7"/>
      <x:c r="H1" s="7"/>
    </x:row>
    <x:row r="2" ht="24" customHeight="1">
      <x:c r="A2" s="8" t="str">
        <x:v>27 historias · 184 puntos · horizonte S2–S8 · corte 02/09/2026</x:v>
      </x:c>
      <x:c r="B2" s="8"/>
      <x:c r="C2" s="8"/>
      <x:c r="D2" s="8"/>
      <x:c r="E2" s="8"/>
      <x:c r="F2" s="8"/>
      <x:c r="G2" s="8"/>
      <x:c r="H2" s="8"/>
    </x:row>
    <x:row r="4" ht="34" customHeight="1">
      <x:c r="A4" s="14" t="str">
        <x:v>Control</x:v>
      </x:c>
      <x:c r="B4" s="14" t="str">
        <x:v>Valor calculado</x:v>
      </x:c>
      <x:c r="C4" s="14" t="str">
        <x:v>Objetivo</x:v>
      </x:c>
      <x:c r="D4" s="14" t="str">
        <x:v>Resultado</x:v>
      </x:c>
    </x:row>
    <x:row r="5">
      <x:c r="A5" s="18" t="str">
        <x:v>Historias</x:v>
      </x:c>
      <x:c r="B5" s="18" t="n">
        <x:f>COUNTA('Product Backlog'!$A$6:$A$32)</x:f>
        <x:v>27</x:v>
      </x:c>
      <x:c r="C5" s="18" t="n">
        <x:v>27</x:v>
      </x:c>
      <x:c r="D5" s="18" t="str">
        <x:f>IF(B5=C5,"OK","REVISAR")</x:f>
        <x:v>OK</x:v>
      </x:c>
    </x:row>
    <x:row r="6">
      <x:c r="A6" s="18" t="str">
        <x:v>Puntos</x:v>
      </x:c>
      <x:c r="B6" s="18" t="n">
        <x:f>SUM('Product Backlog'!$F$6:$F$32)</x:f>
        <x:v>184</x:v>
      </x:c>
      <x:c r="C6" s="18" t="n">
        <x:v>184</x:v>
      </x:c>
      <x:c r="D6" s="18" t="str">
        <x:f>IF(B6=C6,"OK","REVISAR")</x:f>
        <x:v>OK</x:v>
      </x:c>
    </x:row>
    <x:row r="7">
      <x:c r="A7" s="18" t="str">
        <x:v>Historias sin sprint</x:v>
      </x:c>
      <x:c r="B7" s="18" t="n">
        <x:f>COUNTBLANK('Product Backlog'!$G$6:$G$32)</x:f>
        <x:v>0</x:v>
      </x:c>
      <x:c r="C7" s="18" t="n">
        <x:v>0</x:v>
      </x:c>
      <x:c r="D7" s="18" t="str">
        <x:f>IF(B7=C7,"OK","REVISAR")</x:f>
        <x:v>OK</x:v>
      </x:c>
    </x:row>
    <x:row r="10" ht="34" customHeight="1">
      <x:c r="A10" s="14" t="str">
        <x:v>Sprint</x:v>
      </x:c>
      <x:c r="B10" s="14" t="str">
        <x:v>Historias</x:v>
      </x:c>
      <x:c r="C10" s="14" t="str">
        <x:v>Puntos</x:v>
      </x:c>
      <x:c r="D10" s="14" t="str">
        <x:v>Propósito</x:v>
      </x:c>
    </x:row>
    <x:row r="11">
      <x:c r="A11" s="18" t="str">
        <x:v>Sprint 2</x:v>
      </x:c>
      <x:c r="B11" s="18" t="n">
        <x:f>COUNTIF('Product Backlog'!$G$6:$G$32,A11)</x:f>
        <x:v>5</x:v>
      </x:c>
      <x:c r="C11" s="18" t="n">
        <x:f>SUMIF('Product Backlog'!$G$6:$G$32,A11,'Product Backlog'!$F$6:$F$32)</x:f>
        <x:v>29</x:v>
      </x:c>
      <x:c r="D11" s="18" t="str">
        <x:v>Base multi-organización, acceso y administración inicial</x:v>
      </x:c>
    </x:row>
    <x:row r="12">
      <x:c r="A12" s="18" t="str">
        <x:v>Sprint 3</x:v>
      </x:c>
      <x:c r="B12" s="18" t="n">
        <x:f>COUNTIF('Product Backlog'!$G$6:$G$32,A12)</x:f>
        <x:v>5</x:v>
      </x:c>
      <x:c r="C12" s="18" t="n">
        <x:f>SUMIF('Product Backlog'!$G$6:$G$32,A12,'Product Backlog'!$F$6:$F$32)</x:f>
        <x:v>32</x:v>
      </x:c>
      <x:c r="D12" s="18" t="str">
        <x:v>Contenido académico, ejercicios y estructura administrativa</x:v>
      </x:c>
    </x:row>
    <x:row r="13">
      <x:c r="A13" s="18" t="str">
        <x:v>Sprint 4</x:v>
      </x:c>
      <x:c r="B13" s="18" t="n">
        <x:f>COUNTIF('Product Backlog'!$G$6:$G$32,A13)</x:f>
        <x:v>5</x:v>
      </x:c>
      <x:c r="C13" s="18" t="n">
        <x:f>SUMIF('Product Backlog'!$G$6:$G$32,A13,'Product Backlog'!$F$6:$F$32)</x:f>
        <x:v>34</x:v>
      </x:c>
      <x:c r="D13" s="18" t="str">
        <x:v>Ejecución, intento persistido y diagnóstico técnico</x:v>
      </x:c>
    </x:row>
    <x:row r="14">
      <x:c r="A14" s="18" t="str">
        <x:v>Sprint 5</x:v>
      </x:c>
      <x:c r="B14" s="18" t="n">
        <x:f>COUNTIF('Product Backlog'!$G$6:$G$32,A14)</x:f>
        <x:v>4</x:v>
      </x:c>
      <x:c r="C14" s="18" t="n">
        <x:f>SUMIF('Product Backlog'!$G$6:$G$32,A14,'Product Backlog'!$F$6:$F$32)</x:f>
        <x:v>34</x:v>
      </x:c>
      <x:c r="D14" s="18" t="str">
        <x:v>IA generativa, RAG, pistas y gobierno de materiales</x:v>
      </x:c>
    </x:row>
    <x:row r="15">
      <x:c r="A15" s="18" t="str">
        <x:v>Sprint 6</x:v>
      </x:c>
      <x:c r="B15" s="18" t="n">
        <x:f>COUNTIF('Product Backlog'!$G$6:$G$32,A15)</x:f>
        <x:v>4</x:v>
      </x:c>
      <x:c r="C15" s="18" t="n">
        <x:f>SUMIF('Product Backlog'!$G$6:$G$32,A15,'Product Backlog'!$F$6:$F$32)</x:f>
        <x:v>34</x:v>
      </x:c>
      <x:c r="D15" s="18" t="str">
        <x:v>Progreso, panel y señales deterministas</x:v>
      </x:c>
    </x:row>
    <x:row r="16">
      <x:c r="A16" s="18" t="str">
        <x:v>Sprint 7</x:v>
      </x:c>
      <x:c r="B16" s="18" t="n">
        <x:f>COUNTIF('Product Backlog'!$G$6:$G$32,A16)</x:f>
        <x:v>4</x:v>
      </x:c>
      <x:c r="C16" s="18" t="n">
        <x:f>SUMIF('Product Backlog'!$G$6:$G$32,A16,'Product Backlog'!$F$6:$F$32)</x:f>
        <x:v>21</x:v>
      </x:c>
      <x:c r="D16" s="18" t="str">
        <x:v>Detalle, gobierno y auditoría operativa</x:v>
      </x:c>
    </x:row>
    <x:row r="17">
      <x:c r="A17" s="18" t="str">
        <x:v>Sprint 8</x:v>
      </x:c>
      <x:c r="B17" s="18" t="n">
        <x:f>COUNTIF('Product Backlog'!$G$6:$G$32,A17)</x:f>
        <x:v>0</x:v>
      </x:c>
      <x:c r="C17" s="18" t="n">
        <x:f>SUMIF('Product Backlog'!$G$6:$G$32,A17,'Product Backlog'!$F$6:$F$32)</x:f>
        <x:v>0</x:v>
      </x:c>
      <x:c r="D17" s="18" t="str">
        <x:v>Estabilización, demostración y defensa; sin funciones nuevas</x:v>
      </x:c>
    </x:row>
    <x:row r="20" ht="32" customHeight="1">
      <x:c r="A20" s="22" t="str">
        <x:v>S0 comprende semanas 1–2 y S1 semanas 3–4. Ambos cierran documentación y diseño. S2 comienza en semana 5. La carga total del proyecto se mantiene en 18 semanas y 540 horas.</x:v>
      </x:c>
      <x:c r="B20" s="22" t="str">
        <x:v>S0 comprende semanas 1–2 y S1 semanas 3–4. Ambos cierran documentación y diseño. S2 comienza en semana 5. La carga total del proyecto se mantiene en 18 semanas y 540 horas.</x:v>
      </x:c>
      <x:c r="C20" s="22" t="str">
        <x:v>S0 comprende semanas 1–2 y S1 semanas 3–4. Ambos cierran documentación y diseño. S2 comienza en semana 5. La carga total del proyecto se mantiene en 18 semanas y 540 horas.</x:v>
      </x:c>
      <x:c r="D20" s="22" t="str">
        <x:v>S0 comprende semanas 1–2 y S1 semanas 3–4. Ambos cierran documentación y diseño. S2 comienza en semana 5. La carga total del proyecto se mantiene en 18 semanas y 540 horas.</x:v>
      </x:c>
      <x:c r="E20" s="22" t="str">
        <x:v>S0 comprende semanas 1–2 y S1 semanas 3–4. Ambos cierran documentación y diseño. S2 comienza en semana 5. La carga total del proyecto se mantiene en 18 semanas y 540 horas.</x:v>
      </x:c>
      <x:c r="F20" s="22" t="str">
        <x:v>S0 comprende semanas 1–2 y S1 semanas 3–4. Ambos cierran documentación y diseño. S2 comienza en semana 5. La carga total del proyecto se mantiene en 18 semanas y 540 horas.</x:v>
      </x:c>
      <x:c r="G20" s="22" t="str">
        <x:v>S0 comprende semanas 1–2 y S1 semanas 3–4. Ambos cierran documentación y diseño. S2 comienza en semana 5. La carga total del proyecto se mantiene en 18 semanas y 540 horas.</x:v>
      </x:c>
      <x:c r="H20" s="22" t="str">
        <x:v>S0 comprende semanas 1–2 y S1 semanas 3–4. Ambos cierran documentación y diseño. S2 comienza en semana 5. La carga total del proyecto se mantiene en 18 semanas y 540 horas.</x:v>
      </x:c>
    </x:row>
    <x:row r="21" ht="32" customHeight="1">
      <x:c r="A21" s="22" t="str">
        <x:v>S0 comprende semanas 1–2 y S1 semanas 3–4. Ambos cierran documentación y diseño. S2 comienza en semana 5. La carga total del proyecto se mantiene en 18 semanas y 540 horas.</x:v>
      </x:c>
      <x:c r="B21" s="22" t="str">
        <x:v>S0 comprende semanas 1–2 y S1 semanas 3–4. Ambos cierran documentación y diseño. S2 comienza en semana 5. La carga total del proyecto se mantiene en 18 semanas y 540 horas.</x:v>
      </x:c>
      <x:c r="C21" s="22" t="str">
        <x:v>S0 comprende semanas 1–2 y S1 semanas 3–4. Ambos cierran documentación y diseño. S2 comienza en semana 5. La carga total del proyecto se mantiene en 18 semanas y 540 horas.</x:v>
      </x:c>
      <x:c r="D21" s="22" t="str">
        <x:v>S0 comprende semanas 1–2 y S1 semanas 3–4. Ambos cierran documentación y diseño. S2 comienza en semana 5. La carga total del proyecto se mantiene en 18 semanas y 540 horas.</x:v>
      </x:c>
      <x:c r="E21" s="22" t="str">
        <x:v>S0 comprende semanas 1–2 y S1 semanas 3–4. Ambos cierran documentación y diseño. S2 comienza en semana 5. La carga total del proyecto se mantiene en 18 semanas y 540 horas.</x:v>
      </x:c>
      <x:c r="F21" s="22" t="str">
        <x:v>S0 comprende semanas 1–2 y S1 semanas 3–4. Ambos cierran documentación y diseño. S2 comienza en semana 5. La carga total del proyecto se mantiene en 18 semanas y 540 horas.</x:v>
      </x:c>
      <x:c r="G21" s="22" t="str">
        <x:v>S0 comprende semanas 1–2 y S1 semanas 3–4. Ambos cierran documentación y diseño. S2 comienza en semana 5. La carga total del proyecto se mantiene en 18 semanas y 540 horas.</x:v>
      </x:c>
      <x:c r="H21" s="22" t="str">
        <x:v>S0 comprende semanas 1–2 y S1 semanas 3–4. Ambos cierran documentación y diseño. S2 comienza en semana 5. La carga total del proyecto se mantiene en 18 semanas y 540 horas.</x:v>
      </x:c>
    </x:row>
  </x:sheetData>
  <x:mergeCells>
    <x:mergeCell ref="A1:H1"/>
    <x:mergeCell ref="A2:H2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6" hidden="0" customWidth="1"/>
    <x:col min="2" max="2" width="54" hidden="0" customWidth="1"/>
    <x:col min="3" max="3" width="24" hidden="0" customWidth="1"/>
    <x:col min="4" max="4" width="12" hidden="0" customWidth="1"/>
    <x:col min="5" max="5" width="20" hidden="0" customWidth="1"/>
    <x:col min="6" max="6" width="9" hidden="0" customWidth="1"/>
    <x:col min="7" max="7" width="12" hidden="0" customWidth="1"/>
    <x:col min="8" max="8" width="20" hidden="0" customWidth="1"/>
    <x:col min="9" max="9" width="28" hidden="0" customWidth="1"/>
    <x:col min="10" max="10" width="16" hidden="0" customWidth="1"/>
    <x:col min="11" max="11" width="16" hidden="0" customWidth="1"/>
    <x:col min="12" max="12" width="16" hidden="0" customWidth="1"/>
    <x:col min="13" max="13" width="46" hidden="0" customWidth="1"/>
  </x:cols>
  <x:sheetData>
    <x:row r="1" ht="30" customHeight="1">
      <x:c r="A1" s="7" t="str">
        <x:v>Alunza — Product Backlog priorizado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4" customHeight="1">
      <x:c r="A2" s="8" t="str">
        <x:v>Alcance MVP · 27 historias · 184 puntos · estado Planificado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5" ht="34" customHeight="1">
      <x:c r="A5" s="14" t="str">
        <x:v>ID HU</x:v>
      </x:c>
      <x:c r="B5" s="14" t="str">
        <x:v>Enunciado</x:v>
      </x:c>
      <x:c r="C5" s="14" t="str">
        <x:v>Alias</x:v>
      </x:c>
      <x:c r="D5" s="14" t="str">
        <x:v>Prioridad</x:v>
      </x:c>
      <x:c r="E5" s="14" t="str">
        <x:v>Estado</x:v>
      </x:c>
      <x:c r="F5" s="14" t="str">
        <x:v>Puntos</x:v>
      </x:c>
      <x:c r="G5" s="14" t="str">
        <x:v>Sprint</x:v>
      </x:c>
      <x:c r="H5" s="14" t="str">
        <x:v>Responsable</x:v>
      </x:c>
      <x:c r="I5" s="14" t="str">
        <x:v>Dependencias</x:v>
      </x:c>
      <x:c r="J5" s="14" t="str">
        <x:v>RF</x:v>
      </x:c>
      <x:c r="K5" s="14" t="str">
        <x:v>CU</x:v>
      </x:c>
      <x:c r="L5" s="14" t="str">
        <x:v>Prueba</x:v>
      </x:c>
      <x:c r="M5" s="14" t="str">
        <x:v>Criterio de salida</x:v>
      </x:c>
    </x:row>
    <x:row r="6">
      <x:c r="A6" s="18" t="str">
        <x:v>ALZ-HU-001</x:v>
      </x:c>
      <x:c r="B6" s="18" t="str">
        <x:v>Como usuario autorizado (administrador, profesor o estudiante), necesito iniciar y cerrar sesión de forma segura, con la finalidad de acceder solo a funciones y datos permitidos.</x:v>
      </x:c>
      <x:c r="C6" s="18" t="str">
        <x:v>Autenticación y sesión</x:v>
      </x:c>
      <x:c r="D6" s="18" t="str">
        <x:v>Crítica</x:v>
      </x:c>
      <x:c r="E6" s="18" t="str">
        <x:v>Planificado</x:v>
      </x:c>
      <x:c r="F6" s="23" t="n">
        <x:v>5</x:v>
      </x:c>
      <x:c r="G6" s="18" t="str">
        <x:v>Sprint 2</x:v>
      </x:c>
      <x:c r="H6" s="18" t="str">
        <x:v>Marcelo Núñez</x:v>
      </x:c>
      <x:c r="I6" s="18" t="str">
        <x:v>—</x:v>
      </x:c>
      <x:c r="J6" s="18" t="str">
        <x:v>ALZ-RF-001</x:v>
      </x:c>
      <x:c r="K6" s="18" t="str">
        <x:v>ALZ-CU-001</x:v>
      </x:c>
      <x:c r="L6" s="18" t="str">
        <x:v>ALZ-PT-001</x:v>
      </x:c>
      <x:c r="M6" s="18" t="str">
        <x:v>RF y CU trazados; pruebas definidas; implementación y evidencia previstas para el sprint asignado.</x:v>
      </x:c>
    </x:row>
    <x:row r="7">
      <x:c r="A7" s="18" t="str">
        <x:v>ALZ-HU-002</x:v>
      </x:c>
      <x:c r="B7" s="18" t="str">
        <x:v>Como profesor, necesito crear y configurar una clase dentro de su organización, con la finalidad de organizar estudiantes, actividades y materiales del curso.</x:v>
      </x:c>
      <x:c r="C7" s="18" t="str">
        <x:v>Configurar clase</x:v>
      </x:c>
      <x:c r="D7" s="18" t="str">
        <x:v>Crítica</x:v>
      </x:c>
      <x:c r="E7" s="18" t="str">
        <x:v>Planificado</x:v>
      </x:c>
      <x:c r="F7" s="23" t="n">
        <x:v>5</x:v>
      </x:c>
      <x:c r="G7" s="18" t="str">
        <x:v>Sprint 2</x:v>
      </x:c>
      <x:c r="H7" s="18" t="str">
        <x:v>Benjamin Pérez</x:v>
      </x:c>
      <x:c r="I7" s="18" t="str">
        <x:v>HU001, HU020, HU021</x:v>
      </x:c>
      <x:c r="J7" s="18" t="str">
        <x:v>ALZ-RF-002</x:v>
      </x:c>
      <x:c r="K7" s="18" t="str">
        <x:v>ALZ-CU-002</x:v>
      </x:c>
      <x:c r="L7" s="18" t="str">
        <x:v>ALZ-PT-002</x:v>
      </x:c>
      <x:c r="M7" s="18" t="str">
        <x:v>RF y CU trazados; pruebas definidas; implementación y evidencia previstas para el sprint asignado.</x:v>
      </x:c>
    </x:row>
    <x:row r="8">
      <x:c r="A8" s="18" t="str">
        <x:v>ALZ-HU-003</x:v>
      </x:c>
      <x:c r="B8" s="18" t="str">
        <x:v>Como estudiante, necesito incorporarme a una clase mediante un código vigente, con la finalidad de acceder a las actividades que me corresponden.</x:v>
      </x:c>
      <x:c r="C8" s="18" t="str">
        <x:v>Inscripción con código</x:v>
      </x:c>
      <x:c r="D8" s="18" t="str">
        <x:v>Alta</x:v>
      </x:c>
      <x:c r="E8" s="18" t="str">
        <x:v>Planificado</x:v>
      </x:c>
      <x:c r="F8" s="23" t="n">
        <x:v>3</x:v>
      </x:c>
      <x:c r="G8" s="18" t="str">
        <x:v>Sprint 2</x:v>
      </x:c>
      <x:c r="H8" s="18" t="str">
        <x:v>Benjamin Pérez</x:v>
      </x:c>
      <x:c r="I8" s="18" t="str">
        <x:v>HU001, HU002</x:v>
      </x:c>
      <x:c r="J8" s="18" t="str">
        <x:v>ALZ-RF-003</x:v>
      </x:c>
      <x:c r="K8" s="18" t="str">
        <x:v>ALZ-CU-003</x:v>
      </x:c>
      <x:c r="L8" s="18" t="str">
        <x:v>ALZ-PT-003</x:v>
      </x:c>
      <x:c r="M8" s="18" t="str">
        <x:v>RF y CU trazados; pruebas definidas; implementación y evidencia previstas para el sprint asignado.</x:v>
      </x:c>
    </x:row>
    <x:row r="9">
      <x:c r="A9" s="18" t="str">
        <x:v>ALZ-HU-004</x:v>
      </x:c>
      <x:c r="B9" s="18" t="str">
        <x:v>Como profesor, necesito crear y mantener ejercicios con JavaScript, conceptos, pruebas y límites, con la finalidad de reutilizarlos de forma segura en actividades.</x:v>
      </x:c>
      <x:c r="C9" s="18" t="str">
        <x:v>Crear ejercicios</x:v>
      </x:c>
      <x:c r="D9" s="18" t="str">
        <x:v>Crítica</x:v>
      </x:c>
      <x:c r="E9" s="18" t="str">
        <x:v>Planificado</x:v>
      </x:c>
      <x:c r="F9" s="23" t="n">
        <x:v>8</x:v>
      </x:c>
      <x:c r="G9" s="18" t="str">
        <x:v>Sprint 3</x:v>
      </x:c>
      <x:c r="H9" s="18" t="str">
        <x:v>Marcelo Núñez</x:v>
      </x:c>
      <x:c r="I9" s="18" t="str">
        <x:v>HU001, HU023, HU024</x:v>
      </x:c>
      <x:c r="J9" s="18" t="str">
        <x:v>ALZ-RF-004</x:v>
      </x:c>
      <x:c r="K9" s="18" t="str">
        <x:v>ALZ-CU-004</x:v>
      </x:c>
      <x:c r="L9" s="18" t="str">
        <x:v>ALZ-PT-004</x:v>
      </x:c>
      <x:c r="M9" s="18" t="str">
        <x:v>RF y CU trazados; pruebas definidas; implementación y evidencia previstas para el sprint asignado.</x:v>
      </x:c>
    </x:row>
    <x:row r="10">
      <x:c r="A10" s="18" t="str">
        <x:v>ALZ-HU-005</x:v>
      </x:c>
      <x:c r="B10" s="18" t="str">
        <x:v>Como profesor, necesito componer y publicar una actividad con ejercicios ordenados, con la finalidad de asignar práctica evaluable a una clase.</x:v>
      </x:c>
      <x:c r="C10" s="18" t="str">
        <x:v>Publicar actividad</x:v>
      </x:c>
      <x:c r="D10" s="18" t="str">
        <x:v>Crítica</x:v>
      </x:c>
      <x:c r="E10" s="18" t="str">
        <x:v>Planificado</x:v>
      </x:c>
      <x:c r="F10" s="23" t="n">
        <x:v>8</x:v>
      </x:c>
      <x:c r="G10" s="18" t="str">
        <x:v>Sprint 3</x:v>
      </x:c>
      <x:c r="H10" s="18" t="str">
        <x:v>Benjamin Pérez</x:v>
      </x:c>
      <x:c r="I10" s="18" t="str">
        <x:v>HU002, HU004</x:v>
      </x:c>
      <x:c r="J10" s="18" t="str">
        <x:v>ALZ-RF-005</x:v>
      </x:c>
      <x:c r="K10" s="18" t="str">
        <x:v>ALZ-CU-005</x:v>
      </x:c>
      <x:c r="L10" s="18" t="str">
        <x:v>ALZ-PT-005</x:v>
      </x:c>
      <x:c r="M10" s="18" t="str">
        <x:v>RF y CU trazados; pruebas definidas; implementación y evidencia previstas para el sprint asignado.</x:v>
      </x:c>
    </x:row>
    <x:row r="11">
      <x:c r="A11" s="18" t="str">
        <x:v>ALZ-HU-006</x:v>
      </x:c>
      <x:c r="B11" s="18" t="str">
        <x:v>Como profesor, necesito incorporar material oficial autorizado, con la finalidad de sustentar el feedback RAG con fuentes de la clase.</x:v>
      </x:c>
      <x:c r="C11" s="18" t="str">
        <x:v>Incorporar material RAG</x:v>
      </x:c>
      <x:c r="D11" s="18" t="str">
        <x:v>Alta</x:v>
      </x:c>
      <x:c r="E11" s="18" t="str">
        <x:v>Planificado</x:v>
      </x:c>
      <x:c r="F11" s="23" t="n">
        <x:v>8</x:v>
      </x:c>
      <x:c r="G11" s="18" t="str">
        <x:v>Sprint 5</x:v>
      </x:c>
      <x:c r="H11" s="18" t="str">
        <x:v>Marcelo Núñez</x:v>
      </x:c>
      <x:c r="I11" s="18" t="str">
        <x:v>HU002, HU025</x:v>
      </x:c>
      <x:c r="J11" s="18" t="str">
        <x:v>ALZ-RF-006</x:v>
      </x:c>
      <x:c r="K11" s="18" t="str">
        <x:v>ALZ-CU-006</x:v>
      </x:c>
      <x:c r="L11" s="18" t="str">
        <x:v>ALZ-PT-006</x:v>
      </x:c>
      <x:c r="M11" s="18" t="str">
        <x:v>RF y CU trazados; pruebas definidas; implementación y evidencia previstas para el sprint asignado.</x:v>
      </x:c>
    </x:row>
    <x:row r="12">
      <x:c r="A12" s="18" t="str">
        <x:v>ALZ-HU-007</x:v>
      </x:c>
      <x:c r="B12" s="18" t="str">
        <x:v>Como estudiante, necesito consultar actividades publicadas y su estado, con la finalidad de saber qué debo resolver y qué ya completé.</x:v>
      </x:c>
      <x:c r="C12" s="18" t="str">
        <x:v>Consultar actividades</x:v>
      </x:c>
      <x:c r="D12" s="18" t="str">
        <x:v>Alta</x:v>
      </x:c>
      <x:c r="E12" s="18" t="str">
        <x:v>Planificado</x:v>
      </x:c>
      <x:c r="F12" s="23" t="n">
        <x:v>3</x:v>
      </x:c>
      <x:c r="G12" s="18" t="str">
        <x:v>Sprint 4</x:v>
      </x:c>
      <x:c r="H12" s="18" t="str">
        <x:v>Benjamin Pérez</x:v>
      </x:c>
      <x:c r="I12" s="18" t="str">
        <x:v>HU003, HU005</x:v>
      </x:c>
      <x:c r="J12" s="18" t="str">
        <x:v>ALZ-RF-007</x:v>
      </x:c>
      <x:c r="K12" s="18" t="str">
        <x:v>ALZ-CU-007</x:v>
      </x:c>
      <x:c r="L12" s="18" t="str">
        <x:v>ALZ-PT-007</x:v>
      </x:c>
      <x:c r="M12" s="18" t="str">
        <x:v>RF y CU trazados; pruebas definidas; implementación y evidencia previstas para el sprint asignado.</x:v>
      </x:c>
    </x:row>
    <x:row r="13">
      <x:c r="A13" s="18" t="str">
        <x:v>ALZ-HU-008</x:v>
      </x:c>
      <x:c r="B13" s="18" t="str">
        <x:v>Como estudiante, necesito abrir un ejercicio con enunciado, conceptos, plantilla y pruebas visibles, con la finalidad de comprender la tarea antes de programar.</x:v>
      </x:c>
      <x:c r="C13" s="18" t="str">
        <x:v>Abrir ejercicio</x:v>
      </x:c>
      <x:c r="D13" s="18" t="str">
        <x:v>Alta</x:v>
      </x:c>
      <x:c r="E13" s="18" t="str">
        <x:v>Planificado</x:v>
      </x:c>
      <x:c r="F13" s="23" t="n">
        <x:v>3</x:v>
      </x:c>
      <x:c r="G13" s="18" t="str">
        <x:v>Sprint 3</x:v>
      </x:c>
      <x:c r="H13" s="18" t="str">
        <x:v>Benjamin Pérez</x:v>
      </x:c>
      <x:c r="I13" s="18" t="str">
        <x:v>HU003, HU004, HU005</x:v>
      </x:c>
      <x:c r="J13" s="18" t="str">
        <x:v>ALZ-RF-008</x:v>
      </x:c>
      <x:c r="K13" s="18" t="str">
        <x:v>ALZ-CU-008</x:v>
      </x:c>
      <x:c r="L13" s="18" t="str">
        <x:v>ALZ-PT-008</x:v>
      </x:c>
      <x:c r="M13" s="18" t="str">
        <x:v>RF y CU trazados; pruebas definidas; implementación y evidencia previstas para el sprint asignado.</x:v>
      </x:c>
    </x:row>
    <x:row r="14">
      <x:c r="A14" s="18" t="str">
        <x:v>ALZ-HU-009</x:v>
      </x:c>
      <x:c r="B14" s="18" t="str">
        <x:v>Como estudiante, necesito ejecutar código JavaScript en un entorno aislado, con la finalidad de comprobar mi solución antes de enviarla.</x:v>
      </x:c>
      <x:c r="C14" s="18" t="str">
        <x:v>Ejecutar JavaScript</x:v>
      </x:c>
      <x:c r="D14" s="18" t="str">
        <x:v>Crítica</x:v>
      </x:c>
      <x:c r="E14" s="18" t="str">
        <x:v>Planificado</x:v>
      </x:c>
      <x:c r="F14" s="23" t="n">
        <x:v>13</x:v>
      </x:c>
      <x:c r="G14" s="18" t="str">
        <x:v>Sprint 4</x:v>
      </x:c>
      <x:c r="H14" s="18" t="str">
        <x:v>Abraham Retamal</x:v>
      </x:c>
      <x:c r="I14" s="18" t="str">
        <x:v>HU008</x:v>
      </x:c>
      <x:c r="J14" s="18" t="str">
        <x:v>ALZ-RF-009</x:v>
      </x:c>
      <x:c r="K14" s="18" t="str">
        <x:v>ALZ-CU-009</x:v>
      </x:c>
      <x:c r="L14" s="18" t="str">
        <x:v>ALZ-PT-009</x:v>
      </x:c>
      <x:c r="M14" s="18" t="str">
        <x:v>RF y CU trazados; pruebas definidas; implementación y evidencia previstas para el sprint asignado.</x:v>
      </x:c>
    </x:row>
    <x:row r="15">
      <x:c r="A15" s="18" t="str">
        <x:v>ALZ-HU-010</x:v>
      </x:c>
      <x:c r="B15" s="18" t="str">
        <x:v>Como estudiante, necesito enviar una solución y conservar cada intento, con la finalidad de mantener evidencia completa del proceso.</x:v>
      </x:c>
      <x:c r="C15" s="18" t="str">
        <x:v>Persistir intento</x:v>
      </x:c>
      <x:c r="D15" s="18" t="str">
        <x:v>Crítica</x:v>
      </x:c>
      <x:c r="E15" s="18" t="str">
        <x:v>Planificado</x:v>
      </x:c>
      <x:c r="F15" s="23" t="n">
        <x:v>8</x:v>
      </x:c>
      <x:c r="G15" s="18" t="str">
        <x:v>Sprint 4</x:v>
      </x:c>
      <x:c r="H15" s="18" t="str">
        <x:v>Marcelo Núñez</x:v>
      </x:c>
      <x:c r="I15" s="18" t="str">
        <x:v>HU008, HU009</x:v>
      </x:c>
      <x:c r="J15" s="18" t="str">
        <x:v>ALZ-RF-010</x:v>
      </x:c>
      <x:c r="K15" s="18" t="str">
        <x:v>ALZ-CU-010</x:v>
      </x:c>
      <x:c r="L15" s="18" t="str">
        <x:v>ALZ-PT-010</x:v>
      </x:c>
      <x:c r="M15" s="18" t="str">
        <x:v>RF y CU trazados; pruebas definidas; implementación y evidencia previstas para el sprint asignado.</x:v>
      </x:c>
    </x:row>
    <x:row r="16">
      <x:c r="A16" s="18" t="str">
        <x:v>ALZ-HU-011</x:v>
      </x:c>
      <x:c r="B16" s="18" t="str">
        <x:v>Como estudiante, necesito ver un diagnóstico técnico basado en pruebas deterministas, con la finalidad de identificar por qué falla mi solución.</x:v>
      </x:c>
      <x:c r="C16" s="18" t="str">
        <x:v>Diagnóstico técnico</x:v>
      </x:c>
      <x:c r="D16" s="18" t="str">
        <x:v>Crítica</x:v>
      </x:c>
      <x:c r="E16" s="18" t="str">
        <x:v>Planificado</x:v>
      </x:c>
      <x:c r="F16" s="23" t="n">
        <x:v>5</x:v>
      </x:c>
      <x:c r="G16" s="18" t="str">
        <x:v>Sprint 4</x:v>
      </x:c>
      <x:c r="H16" s="18" t="str">
        <x:v>Abraham Retamal</x:v>
      </x:c>
      <x:c r="I16" s="18" t="str">
        <x:v>HU009, HU010</x:v>
      </x:c>
      <x:c r="J16" s="18" t="str">
        <x:v>ALZ-RF-011</x:v>
      </x:c>
      <x:c r="K16" s="18" t="str">
        <x:v>ALZ-CU-011</x:v>
      </x:c>
      <x:c r="L16" s="18" t="str">
        <x:v>ALZ-PT-011</x:v>
      </x:c>
      <x:c r="M16" s="18" t="str">
        <x:v>RF y CU trazados; pruebas definidas; implementación y evidencia previstas para el sprint asignado.</x:v>
      </x:c>
    </x:row>
    <x:row r="17">
      <x:c r="A17" s="18" t="str">
        <x:v>ALZ-HU-012</x:v>
      </x:c>
      <x:c r="B17" s="18" t="str">
        <x:v>Como estudiante, necesito solicitar pistas progresivas vinculadas a mi intento, con la finalidad de avanzar sin recibir directamente la solución.</x:v>
      </x:c>
      <x:c r="C17" s="18" t="str">
        <x:v>Pista progresiva</x:v>
      </x:c>
      <x:c r="D17" s="18" t="str">
        <x:v>Alta</x:v>
      </x:c>
      <x:c r="E17" s="18" t="str">
        <x:v>Planificado</x:v>
      </x:c>
      <x:c r="F17" s="23" t="n">
        <x:v>8</x:v>
      </x:c>
      <x:c r="G17" s="18" t="str">
        <x:v>Sprint 5</x:v>
      </x:c>
      <x:c r="H17" s="18" t="str">
        <x:v>Marcelo Núñez</x:v>
      </x:c>
      <x:c r="I17" s="18" t="str">
        <x:v>HU010, HU011, HU013</x:v>
      </x:c>
      <x:c r="J17" s="18" t="str">
        <x:v>ALZ-RF-012</x:v>
      </x:c>
      <x:c r="K17" s="18" t="str">
        <x:v>ALZ-CU-012</x:v>
      </x:c>
      <x:c r="L17" s="18" t="str">
        <x:v>ALZ-PT-012</x:v>
      </x:c>
      <x:c r="M17" s="18" t="str">
        <x:v>RF y CU trazados; pruebas definidas; implementación y evidencia previstas para el sprint asignado.</x:v>
      </x:c>
    </x:row>
    <x:row r="18">
      <x:c r="A18" s="18" t="str">
        <x:v>ALZ-HU-013</x:v>
      </x:c>
      <x:c r="B18" s="18" t="str">
        <x:v>Como estudiante, necesito recibir feedback sustentado en material oficial, con la finalidad de comprender el error y consultar la fuente utilizada.</x:v>
      </x:c>
      <x:c r="C18" s="18" t="str">
        <x:v>Feedback RAG</x:v>
      </x:c>
      <x:c r="D18" s="18" t="str">
        <x:v>Crítica</x:v>
      </x:c>
      <x:c r="E18" s="18" t="str">
        <x:v>Planificado</x:v>
      </x:c>
      <x:c r="F18" s="23" t="n">
        <x:v>13</x:v>
      </x:c>
      <x:c r="G18" s="18" t="str">
        <x:v>Sprint 5</x:v>
      </x:c>
      <x:c r="H18" s="18" t="str">
        <x:v>Marcelo Núñez</x:v>
      </x:c>
      <x:c r="I18" s="18" t="str">
        <x:v>HU006, HU010, HU011, HU025</x:v>
      </x:c>
      <x:c r="J18" s="18" t="str">
        <x:v>ALZ-RF-013</x:v>
      </x:c>
      <x:c r="K18" s="18" t="str">
        <x:v>ALZ-CU-013</x:v>
      </x:c>
      <x:c r="L18" s="18" t="str">
        <x:v>ALZ-PT-013</x:v>
      </x:c>
      <x:c r="M18" s="18" t="str">
        <x:v>RF y CU trazados; pruebas definidas; implementación y evidencia previstas para el sprint asignado.</x:v>
      </x:c>
    </x:row>
    <x:row r="19">
      <x:c r="A19" s="18" t="str">
        <x:v>ALZ-HU-014</x:v>
      </x:c>
      <x:c r="B19" s="18" t="str">
        <x:v>Como estudiante, necesito reintentar un ejercicio sin perder el historial, con la finalidad de aplicar el feedback y evidenciar cambios.</x:v>
      </x:c>
      <x:c r="C19" s="18" t="str">
        <x:v>Reintentar ejercicio</x:v>
      </x:c>
      <x:c r="D19" s="18" t="str">
        <x:v>Alta</x:v>
      </x:c>
      <x:c r="E19" s="18" t="str">
        <x:v>Planificado</x:v>
      </x:c>
      <x:c r="F19" s="23" t="n">
        <x:v>5</x:v>
      </x:c>
      <x:c r="G19" s="18" t="str">
        <x:v>Sprint 4</x:v>
      </x:c>
      <x:c r="H19" s="18" t="str">
        <x:v>Benjamin Pérez</x:v>
      </x:c>
      <x:c r="I19" s="18" t="str">
        <x:v>HU010, HU011</x:v>
      </x:c>
      <x:c r="J19" s="18" t="str">
        <x:v>ALZ-RF-014</x:v>
      </x:c>
      <x:c r="K19" s="18" t="str">
        <x:v>ALZ-CU-014</x:v>
      </x:c>
      <x:c r="L19" s="18" t="str">
        <x:v>ALZ-PT-014</x:v>
      </x:c>
      <x:c r="M19" s="18" t="str">
        <x:v>RF y CU trazados; pruebas definidas; implementación y evidencia previstas para el sprint asignado.</x:v>
      </x:c>
    </x:row>
    <x:row r="20">
      <x:c r="A20" s="18" t="str">
        <x:v>ALZ-HU-015</x:v>
      </x:c>
      <x:c r="B20" s="18" t="str">
        <x:v>Como estudiante, necesito consultar progreso explicable por actividad y concepto, con la finalidad de reconocer avances con reglas verificables.</x:v>
      </x:c>
      <x:c r="C20" s="18" t="str">
        <x:v>Consultar progreso</x:v>
      </x:c>
      <x:c r="D20" s="18" t="str">
        <x:v>Alta</x:v>
      </x:c>
      <x:c r="E20" s="18" t="str">
        <x:v>Planificado</x:v>
      </x:c>
      <x:c r="F20" s="23" t="n">
        <x:v>8</x:v>
      </x:c>
      <x:c r="G20" s="18" t="str">
        <x:v>Sprint 6</x:v>
      </x:c>
      <x:c r="H20" s="18" t="str">
        <x:v>Benjamin Pérez</x:v>
      </x:c>
      <x:c r="I20" s="18" t="str">
        <x:v>HU010, HU014</x:v>
      </x:c>
      <x:c r="J20" s="18" t="str">
        <x:v>ALZ-RF-015</x:v>
      </x:c>
      <x:c r="K20" s="18" t="str">
        <x:v>ALZ-CU-015</x:v>
      </x:c>
      <x:c r="L20" s="18" t="str">
        <x:v>ALZ-PT-015</x:v>
      </x:c>
      <x:c r="M20" s="18" t="str">
        <x:v>RF y CU trazados; pruebas definidas; implementación y evidencia previstas para el sprint asignado.</x:v>
      </x:c>
    </x:row>
    <x:row r="21">
      <x:c r="A21" s="18" t="str">
        <x:v>ALZ-HU-016</x:v>
      </x:c>
      <x:c r="B21" s="18" t="str">
        <x:v>Como profesor, necesito visualizar actividad, avance, fallas y señales deterministas, con la finalidad de priorizar acompañamiento con evidencia operativa.</x:v>
      </x:c>
      <x:c r="C21" s="18" t="str">
        <x:v>Panel docente</x:v>
      </x:c>
      <x:c r="D21" s="18" t="str">
        <x:v>Crítica</x:v>
      </x:c>
      <x:c r="E21" s="18" t="str">
        <x:v>Planificado</x:v>
      </x:c>
      <x:c r="F21" s="23" t="n">
        <x:v>13</x:v>
      </x:c>
      <x:c r="G21" s="18" t="str">
        <x:v>Sprint 6</x:v>
      </x:c>
      <x:c r="H21" s="18" t="str">
        <x:v>Benjamin Pérez</x:v>
      </x:c>
      <x:c r="I21" s="18" t="str">
        <x:v>HU010, HU011, HU015, HU018</x:v>
      </x:c>
      <x:c r="J21" s="18" t="str">
        <x:v>ALZ-RF-016</x:v>
      </x:c>
      <x:c r="K21" s="18" t="str">
        <x:v>ALZ-CU-016</x:v>
      </x:c>
      <x:c r="L21" s="18" t="str">
        <x:v>ALZ-PT-016</x:v>
      </x:c>
      <x:c r="M21" s="18" t="str">
        <x:v>RF y CU trazados; pruebas definidas; implementación y evidencia previstas para el sprint asignado.</x:v>
      </x:c>
    </x:row>
    <x:row r="22">
      <x:c r="A22" s="18" t="str">
        <x:v>ALZ-HU-017</x:v>
      </x:c>
      <x:c r="B22" s="18" t="str">
        <x:v>Como profesor, necesito consultar intentos, resultados y progreso de un estudiante autorizado, con la finalidad de revisar evidencia individual de su clase.</x:v>
      </x:c>
      <x:c r="C22" s="18" t="str">
        <x:v>Detalle de estudiante</x:v>
      </x:c>
      <x:c r="D22" s="18" t="str">
        <x:v>Alta</x:v>
      </x:c>
      <x:c r="E22" s="18" t="str">
        <x:v>Planificado</x:v>
      </x:c>
      <x:c r="F22" s="23" t="n">
        <x:v>8</x:v>
      </x:c>
      <x:c r="G22" s="18" t="str">
        <x:v>Sprint 7</x:v>
      </x:c>
      <x:c r="H22" s="18" t="str">
        <x:v>Benjamin Pérez</x:v>
      </x:c>
      <x:c r="I22" s="18" t="str">
        <x:v>HU010, HU015, HU016</x:v>
      </x:c>
      <x:c r="J22" s="18" t="str">
        <x:v>ALZ-RF-017</x:v>
      </x:c>
      <x:c r="K22" s="18" t="str">
        <x:v>ALZ-CU-017</x:v>
      </x:c>
      <x:c r="L22" s="18" t="str">
        <x:v>ALZ-PT-017</x:v>
      </x:c>
      <x:c r="M22" s="18" t="str">
        <x:v>RF y CU trazados; pruebas definidas; implementación y evidencia previstas para el sprint asignado.</x:v>
      </x:c>
    </x:row>
    <x:row r="23">
      <x:c r="A23" s="18" t="str">
        <x:v>ALZ-HU-018</x:v>
      </x:c>
      <x:c r="B23" s="18" t="str">
        <x:v>Como profesor, necesito recibir señales de inactividad, error repetido o estancamiento, con la finalidad de intervenir con reglas conocidas y explicables.</x:v>
      </x:c>
      <x:c r="C23" s="18" t="str">
        <x:v>Señales deterministas</x:v>
      </x:c>
      <x:c r="D23" s="18" t="str">
        <x:v>Alta</x:v>
      </x:c>
      <x:c r="E23" s="18" t="str">
        <x:v>Planificado</x:v>
      </x:c>
      <x:c r="F23" s="23" t="n">
        <x:v>8</x:v>
      </x:c>
      <x:c r="G23" s="18" t="str">
        <x:v>Sprint 6</x:v>
      </x:c>
      <x:c r="H23" s="18" t="str">
        <x:v>Abraham Retamal</x:v>
      </x:c>
      <x:c r="I23" s="18" t="str">
        <x:v>HU010, HU011, HU026</x:v>
      </x:c>
      <x:c r="J23" s="18" t="str">
        <x:v>ALZ-RF-018</x:v>
      </x:c>
      <x:c r="K23" s="18" t="str">
        <x:v>ALZ-CU-018</x:v>
      </x:c>
      <x:c r="L23" s="18" t="str">
        <x:v>ALZ-PT-018</x:v>
      </x:c>
      <x:c r="M23" s="18" t="str">
        <x:v>RF y CU trazados; pruebas definidas; implementación y evidencia previstas para el sprint asignado.</x:v>
      </x:c>
    </x:row>
    <x:row r="24">
      <x:c r="A24" s="18" t="str">
        <x:v>ALZ-HU-019</x:v>
      </x:c>
      <x:c r="B24" s="18" t="str">
        <x:v>Como profesor, necesito marcar una señal como revisada, con la finalidad de registrar seguimiento sin borrar evidencia.</x:v>
      </x:c>
      <x:c r="C24" s="18" t="str">
        <x:v>Revisar señal</x:v>
      </x:c>
      <x:c r="D24" s="18" t="str">
        <x:v>Alta</x:v>
      </x:c>
      <x:c r="E24" s="18" t="str">
        <x:v>Planificado</x:v>
      </x:c>
      <x:c r="F24" s="23" t="n">
        <x:v>3</x:v>
      </x:c>
      <x:c r="G24" s="18" t="str">
        <x:v>Sprint 7</x:v>
      </x:c>
      <x:c r="H24" s="18" t="str">
        <x:v>Benjamin Pérez</x:v>
      </x:c>
      <x:c r="I24" s="18" t="str">
        <x:v>HU016, HU018</x:v>
      </x:c>
      <x:c r="J24" s="18" t="str">
        <x:v>ALZ-RF-019</x:v>
      </x:c>
      <x:c r="K24" s="18" t="str">
        <x:v>ALZ-CU-019</x:v>
      </x:c>
      <x:c r="L24" s="18" t="str">
        <x:v>ALZ-PT-019</x:v>
      </x:c>
      <x:c r="M24" s="18" t="str">
        <x:v>RF y CU trazados; pruebas definidas; implementación y evidencia previstas para el sprint asignado.</x:v>
      </x:c>
    </x:row>
    <x:row r="25">
      <x:c r="A25" s="18" t="str">
        <x:v>ALZ-HU-020</x:v>
      </x:c>
      <x:c r="B25" s="18" t="str">
        <x:v>Como administrador, necesito crear, actualizar y archivar organizaciones, con la finalidad de mantener el aislamiento institucional del servicio.</x:v>
      </x:c>
      <x:c r="C25" s="18" t="str">
        <x:v>Administrar organizaciones</x:v>
      </x:c>
      <x:c r="D25" s="18" t="str">
        <x:v>Crítica</x:v>
      </x:c>
      <x:c r="E25" s="18" t="str">
        <x:v>Planificado</x:v>
      </x:c>
      <x:c r="F25" s="23" t="n">
        <x:v>8</x:v>
      </x:c>
      <x:c r="G25" s="18" t="str">
        <x:v>Sprint 2</x:v>
      </x:c>
      <x:c r="H25" s="18" t="str">
        <x:v>Benjamin Pérez</x:v>
      </x:c>
      <x:c r="I25" s="18" t="str">
        <x:v>HU001</x:v>
      </x:c>
      <x:c r="J25" s="18" t="str">
        <x:v>ALZ-RF-020</x:v>
      </x:c>
      <x:c r="K25" s="18" t="str">
        <x:v>ALZ-CU-020</x:v>
      </x:c>
      <x:c r="L25" s="18" t="str">
        <x:v>ALZ-PT-020</x:v>
      </x:c>
      <x:c r="M25" s="18" t="str">
        <x:v>RF y CU trazados; pruebas definidas; implementación y evidencia previstas para el sprint asignado.</x:v>
      </x:c>
    </x:row>
    <x:row r="26">
      <x:c r="A26" s="18" t="str">
        <x:v>ALZ-HU-021</x:v>
      </x:c>
      <x:c r="B26" s="18" t="str">
        <x:v>Como administrador, necesito invitar, activar, deshabilitar y asignar roles a usuarios, con la finalidad de controlar el acceso dentro de cada organización.</x:v>
      </x:c>
      <x:c r="C26" s="18" t="str">
        <x:v>Administrar usuarios y roles</x:v>
      </x:c>
      <x:c r="D26" s="18" t="str">
        <x:v>Crítica</x:v>
      </x:c>
      <x:c r="E26" s="18" t="str">
        <x:v>Planificado</x:v>
      </x:c>
      <x:c r="F26" s="23" t="n">
        <x:v>8</x:v>
      </x:c>
      <x:c r="G26" s="18" t="str">
        <x:v>Sprint 2</x:v>
      </x:c>
      <x:c r="H26" s="18" t="str">
        <x:v>Marcelo Núñez</x:v>
      </x:c>
      <x:c r="I26" s="18" t="str">
        <x:v>HU001, HU020</x:v>
      </x:c>
      <x:c r="J26" s="18" t="str">
        <x:v>ALZ-RF-021</x:v>
      </x:c>
      <x:c r="K26" s="18" t="str">
        <x:v>ALZ-CU-021</x:v>
      </x:c>
      <x:c r="L26" s="18" t="str">
        <x:v>ALZ-PT-021</x:v>
      </x:c>
      <x:c r="M26" s="18" t="str">
        <x:v>RF y CU trazados; pruebas definidas; implementación y evidencia previstas para el sprint asignado.</x:v>
      </x:c>
    </x:row>
    <x:row r="27">
      <x:c r="A27" s="18" t="str">
        <x:v>ALZ-HU-022</x:v>
      </x:c>
      <x:c r="B27" s="18" t="str">
        <x:v>Como administrador, necesito gestionar cursos, clases y asignaciones de profesores, con la finalidad de mantener la estructura académica de la organización.</x:v>
      </x:c>
      <x:c r="C27" s="18" t="str">
        <x:v>Gobernar cursos y clases</x:v>
      </x:c>
      <x:c r="D27" s="18" t="str">
        <x:v>Alta</x:v>
      </x:c>
      <x:c r="E27" s="18" t="str">
        <x:v>Planificado</x:v>
      </x:c>
      <x:c r="F27" s="23" t="n">
        <x:v>8</x:v>
      </x:c>
      <x:c r="G27" s="18" t="str">
        <x:v>Sprint 3</x:v>
      </x:c>
      <x:c r="H27" s="18" t="str">
        <x:v>Benjamin Pérez</x:v>
      </x:c>
      <x:c r="I27" s="18" t="str">
        <x:v>HU020, HU021</x:v>
      </x:c>
      <x:c r="J27" s="18" t="str">
        <x:v>ALZ-RF-022</x:v>
      </x:c>
      <x:c r="K27" s="18" t="str">
        <x:v>ALZ-CU-022</x:v>
      </x:c>
      <x:c r="L27" s="18" t="str">
        <x:v>ALZ-PT-022</x:v>
      </x:c>
      <x:c r="M27" s="18" t="str">
        <x:v>RF y CU trazados; pruebas definidas; implementación y evidencia previstas para el sprint asignado.</x:v>
      </x:c>
    </x:row>
    <x:row r="28">
      <x:c r="A28" s="18" t="str">
        <x:v>ALZ-HU-023</x:v>
      </x:c>
      <x:c r="B28" s="18" t="str">
        <x:v>Como administrador, necesito administrar la taxonomía de conceptos, con la finalidad de usar vocabulario académico consistente en ejercicios y reportes.</x:v>
      </x:c>
      <x:c r="C28" s="18" t="str">
        <x:v>Administrar taxonomía</x:v>
      </x:c>
      <x:c r="D28" s="18" t="str">
        <x:v>Alta</x:v>
      </x:c>
      <x:c r="E28" s="18" t="str">
        <x:v>Planificado</x:v>
      </x:c>
      <x:c r="F28" s="23" t="n">
        <x:v>5</x:v>
      </x:c>
      <x:c r="G28" s="18" t="str">
        <x:v>Sprint 3</x:v>
      </x:c>
      <x:c r="H28" s="18" t="str">
        <x:v>Marcelo Núñez</x:v>
      </x:c>
      <x:c r="I28" s="18" t="str">
        <x:v>HU020</x:v>
      </x:c>
      <x:c r="J28" s="18" t="str">
        <x:v>ALZ-RF-023</x:v>
      </x:c>
      <x:c r="K28" s="18" t="str">
        <x:v>ALZ-CU-023</x:v>
      </x:c>
      <x:c r="L28" s="18" t="str">
        <x:v>ALZ-PT-023</x:v>
      </x:c>
      <x:c r="M28" s="18" t="str">
        <x:v>RF y CU trazados; pruebas definidas; implementación y evidencia previstas para el sprint asignado.</x:v>
      </x:c>
    </x:row>
    <x:row r="29">
      <x:c r="A29" s="18" t="str">
        <x:v>ALZ-HU-024</x:v>
      </x:c>
      <x:c r="B29" s="18" t="str">
        <x:v>Como administrador, necesito gobernar el banco reutilizable de ejercicios, con la finalidad de controlar propiedad, versión, visibilidad y archivado.</x:v>
      </x:c>
      <x:c r="C29" s="18" t="str">
        <x:v>Gobernar banco de ejercicios</x:v>
      </x:c>
      <x:c r="D29" s="18" t="str">
        <x:v>Alta</x:v>
      </x:c>
      <x:c r="E29" s="18" t="str">
        <x:v>Planificado</x:v>
      </x:c>
      <x:c r="F29" s="23" t="n">
        <x:v>5</x:v>
      </x:c>
      <x:c r="G29" s="18" t="str">
        <x:v>Sprint 7</x:v>
      </x:c>
      <x:c r="H29" s="18" t="str">
        <x:v>Marcelo Núñez</x:v>
      </x:c>
      <x:c r="I29" s="18" t="str">
        <x:v>HU004, HU020, HU023</x:v>
      </x:c>
      <x:c r="J29" s="18" t="str">
        <x:v>ALZ-RF-024</x:v>
      </x:c>
      <x:c r="K29" s="18" t="str">
        <x:v>ALZ-CU-024</x:v>
      </x:c>
      <x:c r="L29" s="18" t="str">
        <x:v>ALZ-PT-024</x:v>
      </x:c>
      <x:c r="M29" s="18" t="str">
        <x:v>RF y CU trazados; pruebas definidas; implementación y evidencia previstas para el sprint asignado.</x:v>
      </x:c>
    </x:row>
    <x:row r="30">
      <x:c r="A30" s="18" t="str">
        <x:v>ALZ-HU-025</x:v>
      </x:c>
      <x:c r="B30" s="18" t="str">
        <x:v>Como administrador, necesito gobernar materiales RAG, visibilidad e indexación, con la finalidad de asegurar fuentes autorizadas y aisladas por clase.</x:v>
      </x:c>
      <x:c r="C30" s="18" t="str">
        <x:v>Gobernar materiales RAG</x:v>
      </x:c>
      <x:c r="D30" s="18" t="str">
        <x:v>Crítica</x:v>
      </x:c>
      <x:c r="E30" s="18" t="str">
        <x:v>Planificado</x:v>
      </x:c>
      <x:c r="F30" s="23" t="n">
        <x:v>5</x:v>
      </x:c>
      <x:c r="G30" s="18" t="str">
        <x:v>Sprint 5</x:v>
      </x:c>
      <x:c r="H30" s="18" t="str">
        <x:v>Abraham Retamal</x:v>
      </x:c>
      <x:c r="I30" s="18" t="str">
        <x:v>HU006, HU020, HU022</x:v>
      </x:c>
      <x:c r="J30" s="18" t="str">
        <x:v>ALZ-RF-025</x:v>
      </x:c>
      <x:c r="K30" s="18" t="str">
        <x:v>ALZ-CU-025</x:v>
      </x:c>
      <x:c r="L30" s="18" t="str">
        <x:v>ALZ-PT-025</x:v>
      </x:c>
      <x:c r="M30" s="18" t="str">
        <x:v>RF y CU trazados; pruebas definidas; implementación y evidencia previstas para el sprint asignado.</x:v>
      </x:c>
    </x:row>
    <x:row r="31">
      <x:c r="A31" s="18" t="str">
        <x:v>ALZ-HU-026</x:v>
      </x:c>
      <x:c r="B31" s="18" t="str">
        <x:v>Como administrador, necesito configurar y versionar reglas de señales, con la finalidad de mantener umbrales deterministas y trazables.</x:v>
      </x:c>
      <x:c r="C31" s="18" t="str">
        <x:v>Versionar reglas de señales</x:v>
      </x:c>
      <x:c r="D31" s="18" t="str">
        <x:v>Alta</x:v>
      </x:c>
      <x:c r="E31" s="18" t="str">
        <x:v>Planificado</x:v>
      </x:c>
      <x:c r="F31" s="23" t="n">
        <x:v>5</x:v>
      </x:c>
      <x:c r="G31" s="18" t="str">
        <x:v>Sprint 6</x:v>
      </x:c>
      <x:c r="H31" s="18" t="str">
        <x:v>Abraham Retamal</x:v>
      </x:c>
      <x:c r="I31" s="18" t="str">
        <x:v>HU018, HU020</x:v>
      </x:c>
      <x:c r="J31" s="18" t="str">
        <x:v>ALZ-RF-026</x:v>
      </x:c>
      <x:c r="K31" s="18" t="str">
        <x:v>ALZ-CU-026</x:v>
      </x:c>
      <x:c r="L31" s="18" t="str">
        <x:v>ALZ-PT-026</x:v>
      </x:c>
      <x:c r="M31" s="18" t="str">
        <x:v>RF y CU trazados; pruebas definidas; implementación y evidencia previstas para el sprint asignado.</x:v>
      </x:c>
    </x:row>
    <x:row r="32">
      <x:c r="A32" s="18" t="str">
        <x:v>ALZ-HU-027</x:v>
      </x:c>
      <x:c r="B32" s="18" t="str">
        <x:v>Como administrador, necesito consultar auditoría y exportar registros operativos, con la finalidad de revisar acciones relevantes con trazabilidad verificable.</x:v>
      </x:c>
      <x:c r="C32" s="18" t="str">
        <x:v>Auditoría y exportación</x:v>
      </x:c>
      <x:c r="D32" s="18" t="str">
        <x:v>Alta</x:v>
      </x:c>
      <x:c r="E32" s="18" t="str">
        <x:v>Planificado</x:v>
      </x:c>
      <x:c r="F32" s="23" t="n">
        <x:v>5</x:v>
      </x:c>
      <x:c r="G32" s="18" t="str">
        <x:v>Sprint 7</x:v>
      </x:c>
      <x:c r="H32" s="18" t="str">
        <x:v>Abraham Retamal</x:v>
      </x:c>
      <x:c r="I32" s="18" t="str">
        <x:v>HU020, HU021, HU022, HU024, HU025, HU026</x:v>
      </x:c>
      <x:c r="J32" s="18" t="str">
        <x:v>ALZ-RF-027</x:v>
      </x:c>
      <x:c r="K32" s="18" t="str">
        <x:v>ALZ-CU-027</x:v>
      </x:c>
      <x:c r="L32" s="18" t="str">
        <x:v>ALZ-PT-027</x:v>
      </x:c>
      <x:c r="M32" s="18" t="str">
        <x:v>RF y CU trazados; pruebas definidas; implementación y evidencia previstas para el sprint asignado.</x:v>
      </x:c>
    </x:row>
    <x:row r="34" ht="32" customHeight="1">
      <x:c r="A34" s="22" t="str">
        <x:v>Orden recomendado de lectura: prioridad, dependencias y sprint. El estado Planificado no equivale a implementación, prueba ni evidencia ejecutada.</x:v>
      </x:c>
      <x:c r="B34" s="22" t="str">
        <x:v>Orden recomendado de lectura: prioridad, dependencias y sprint. El estado Planificado no equivale a implementación, prueba ni evidencia ejecutada.</x:v>
      </x:c>
      <x:c r="C34" s="22" t="str">
        <x:v>Orden recomendado de lectura: prioridad, dependencias y sprint. El estado Planificado no equivale a implementación, prueba ni evidencia ejecutada.</x:v>
      </x:c>
      <x:c r="D34" s="22" t="str">
        <x:v>Orden recomendado de lectura: prioridad, dependencias y sprint. El estado Planificado no equivale a implementación, prueba ni evidencia ejecutada.</x:v>
      </x:c>
      <x:c r="E34" s="22" t="str">
        <x:v>Orden recomendado de lectura: prioridad, dependencias y sprint. El estado Planificado no equivale a implementación, prueba ni evidencia ejecutada.</x:v>
      </x:c>
      <x:c r="F34" s="22" t="str">
        <x:v>Orden recomendado de lectura: prioridad, dependencias y sprint. El estado Planificado no equivale a implementación, prueba ni evidencia ejecutada.</x:v>
      </x:c>
      <x:c r="G34" s="22" t="str">
        <x:v>Orden recomendado de lectura: prioridad, dependencias y sprint. El estado Planificado no equivale a implementación, prueba ni evidencia ejecutada.</x:v>
      </x:c>
      <x:c r="H34" s="22" t="str">
        <x:v>Orden recomendado de lectura: prioridad, dependencias y sprint. El estado Planificado no equivale a implementación, prueba ni evidencia ejecutada.</x:v>
      </x:c>
      <x:c r="I34" s="22" t="str">
        <x:v>Orden recomendado de lectura: prioridad, dependencias y sprint. El estado Planificado no equivale a implementación, prueba ni evidencia ejecutada.</x:v>
      </x:c>
      <x:c r="J34" s="22" t="str">
        <x:v>Orden recomendado de lectura: prioridad, dependencias y sprint. El estado Planificado no equivale a implementación, prueba ni evidencia ejecutada.</x:v>
      </x:c>
      <x:c r="K34" s="22" t="str">
        <x:v>Orden recomendado de lectura: prioridad, dependencias y sprint. El estado Planificado no equivale a implementación, prueba ni evidencia ejecutada.</x:v>
      </x:c>
      <x:c r="L34" s="22" t="str">
        <x:v>Orden recomendado de lectura: prioridad, dependencias y sprint. El estado Planificado no equivale a implementación, prueba ni evidencia ejecutada.</x:v>
      </x:c>
      <x:c r="M34" s="22" t="str">
        <x:v>Orden recomendado de lectura: prioridad, dependencias y sprint. El estado Planificado no equivale a implementación, prueba ni evidencia ejecutada.</x:v>
      </x:c>
    </x:row>
    <x:row r="35" ht="32" customHeight="1">
      <x:c r="A35" s="22" t="str">
        <x:v>Orden recomendado de lectura: prioridad, dependencias y sprint. El estado Planificado no equivale a implementación, prueba ni evidencia ejecutada.</x:v>
      </x:c>
      <x:c r="B35" s="22" t="str">
        <x:v>Orden recomendado de lectura: prioridad, dependencias y sprint. El estado Planificado no equivale a implementación, prueba ni evidencia ejecutada.</x:v>
      </x:c>
      <x:c r="C35" s="22" t="str">
        <x:v>Orden recomendado de lectura: prioridad, dependencias y sprint. El estado Planificado no equivale a implementación, prueba ni evidencia ejecutada.</x:v>
      </x:c>
      <x:c r="D35" s="22" t="str">
        <x:v>Orden recomendado de lectura: prioridad, dependencias y sprint. El estado Planificado no equivale a implementación, prueba ni evidencia ejecutada.</x:v>
      </x:c>
      <x:c r="E35" s="22" t="str">
        <x:v>Orden recomendado de lectura: prioridad, dependencias y sprint. El estado Planificado no equivale a implementación, prueba ni evidencia ejecutada.</x:v>
      </x:c>
      <x:c r="F35" s="22" t="str">
        <x:v>Orden recomendado de lectura: prioridad, dependencias y sprint. El estado Planificado no equivale a implementación, prueba ni evidencia ejecutada.</x:v>
      </x:c>
      <x:c r="G35" s="22" t="str">
        <x:v>Orden recomendado de lectura: prioridad, dependencias y sprint. El estado Planificado no equivale a implementación, prueba ni evidencia ejecutada.</x:v>
      </x:c>
      <x:c r="H35" s="22" t="str">
        <x:v>Orden recomendado de lectura: prioridad, dependencias y sprint. El estado Planificado no equivale a implementación, prueba ni evidencia ejecutada.</x:v>
      </x:c>
      <x:c r="I35" s="22" t="str">
        <x:v>Orden recomendado de lectura: prioridad, dependencias y sprint. El estado Planificado no equivale a implementación, prueba ni evidencia ejecutada.</x:v>
      </x:c>
      <x:c r="J35" s="22" t="str">
        <x:v>Orden recomendado de lectura: prioridad, dependencias y sprint. El estado Planificado no equivale a implementación, prueba ni evidencia ejecutada.</x:v>
      </x:c>
      <x:c r="K35" s="22" t="str">
        <x:v>Orden recomendado de lectura: prioridad, dependencias y sprint. El estado Planificado no equivale a implementación, prueba ni evidencia ejecutada.</x:v>
      </x:c>
      <x:c r="L35" s="22" t="str">
        <x:v>Orden recomendado de lectura: prioridad, dependencias y sprint. El estado Planificado no equivale a implementación, prueba ni evidencia ejecutada.</x:v>
      </x:c>
      <x:c r="M35" s="22" t="str">
        <x:v>Orden recomendado de lectura: prioridad, dependencias y sprint. El estado Planificado no equivale a implementación, prueba ni evidencia ejecutada.</x:v>
      </x:c>
    </x:row>
  </x:sheetData>
  <x:mergeCells>
    <x:mergeCell ref="A1:M1"/>
    <x:mergeCell ref="A2:M2"/>
    <x:mergeCell ref="A34:M35"/>
  </x:mergeCells>
  <x:conditionalFormatting sqref="D6:D32">
    <x:cfRule type="containsText" dxfId="0" priority="1" operator="containsText" text="Crítica"/>
    <x:cfRule type="containsText" dxfId="1" priority="2" operator="containsText" text="Alta"/>
  </x:conditionalFormatting>
  <x:conditionalFormatting sqref="E6:E32">
    <x:cfRule type="containsText" dxfId="2" priority="3" operator="containsText" text="Planificado"/>
  </x:conditionalFormatting>
  <x:dataValidations count="4">
    <x:dataValidation type="list" sqref="D6:D32">
      <x:formula1>"Crítica,Alta,Media,Baja"</x:formula1>
    </x:dataValidation>
    <x:dataValidation type="list" sqref="E6:E32">
      <x:formula1>"Redactado,Revisado,Aprobado internamente,Planificado,Implementado,Probado,Evidenciado"</x:formula1>
    </x:dataValidation>
    <x:dataValidation type="list" sqref="G6:G32">
      <x:formula1>"Sprint 2,Sprint 3,Sprint 4,Sprint 5,Sprint 6,Sprint 7,Sprint 8"</x:formula1>
    </x:dataValidation>
    <x:dataValidation type="list" sqref="H6:H32">
      <x:formula1>"Marcelo Núñez,Abraham Retamal,Benjamin Pérez"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51ec11cbec489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42" hidden="0" customWidth="1"/>
    <x:col min="4" max="4" width="34" hidden="0" customWidth="1"/>
    <x:col min="5" max="5" width="20" hidden="0" customWidth="1"/>
    <x:col min="6" max="6" width="18" hidden="0" customWidth="1"/>
    <x:col min="7" max="7" width="42" hidden="0" customWidth="1"/>
  </x:cols>
  <x:sheetData>
    <x:row r="1" ht="30" customHeight="1">
      <x:c r="A1" s="7" t="str">
        <x:v>Criterios de salida y exclusiones</x:v>
      </x:c>
      <x:c r="B1" s="7"/>
      <x:c r="C1" s="7"/>
      <x:c r="D1" s="7"/>
      <x:c r="E1" s="7"/>
      <x:c r="F1" s="7"/>
      <x:c r="G1" s="7"/>
    </x:row>
    <x:row r="2" ht="24" customHeight="1">
      <x:c r="A2" s="8" t="str">
        <x:v>Definición del alcance para el MVP académico</x:v>
      </x:c>
      <x:c r="B2" s="8"/>
      <x:c r="C2" s="8"/>
      <x:c r="D2" s="8"/>
      <x:c r="E2" s="8"/>
      <x:c r="F2" s="8"/>
      <x:c r="G2" s="8"/>
    </x:row>
    <x:row r="4" ht="34" customHeight="1">
      <x:c r="A4" s="14" t="str">
        <x:v>Área</x:v>
      </x:c>
      <x:c r="B4" s="14" t="str">
        <x:v>Incluido</x:v>
      </x:c>
      <x:c r="C4" s="14" t="str">
        <x:v>Regla de aceptación</x:v>
      </x:c>
      <x:c r="D4" s="14" t="str">
        <x:v>Evidencia prevista</x:v>
      </x:c>
      <x:c r="E4" s="14" t="str">
        <x:v>Estado semana 4</x:v>
      </x:c>
      <x:c r="F4" s="14" t="str">
        <x:v>Propietario</x:v>
      </x:c>
      <x:c r="G4" s="14" t="str">
        <x:v>Observación</x:v>
      </x:c>
    </x:row>
    <x:row r="5">
      <x:c r="A5" s="18" t="str">
        <x:v>Plataforma</x:v>
      </x:c>
      <x:c r="B5" s="18" t="str">
        <x:v>Arquitectura híbrida: Next.js/React 19/TS 5.x en Vercel; NestJS 12/Node 24 en Azure Container Apps; Supabase PostgreSQL/Auth/Storage/RLS/pgvector</x:v>
      </x:c>
      <x:c r="C5" s="18" t="str">
        <x:v>JWT validado en NestJS; guardas por rol/organización/clase y RLS probado</x:v>
      </x:c>
      <x:c r="D5" s="18" t="str">
        <x:v>Pruebas y capturas de S2</x:v>
      </x:c>
      <x:c r="E5" s="18" t="str">
        <x:v>Planificado</x:v>
      </x:c>
      <x:c r="F5" s="18" t="str">
        <x:v>Equipo</x:v>
      </x:c>
      <x:c r="G5" s="18" t="str">
        <x:v>GitHub Actions y previews Vercel comienzan en S2; Next.js no duplica la API de dominio</x:v>
      </x:c>
    </x:row>
    <x:row r="6">
      <x:c r="A6" s="18" t="str">
        <x:v>Ejecución</x:v>
      </x:c>
      <x:c r="B6" s="18" t="str">
        <x:v>Vercel Sandbox en producción; adaptador Docker local; pruebas deterministas</x:v>
      </x:c>
      <x:c r="C6" s="18" t="str">
        <x:v>Sandbox 1 vCPU/2 GB; proceso 128 MB, 3 s y 64 KB</x:v>
      </x:c>
      <x:c r="D6" s="18" t="str">
        <x:v>Resultados técnicos de S4</x:v>
      </x:c>
      <x:c r="E6" s="18" t="str">
        <x:v>Planificado</x:v>
      </x:c>
      <x:c r="F6" s="18" t="str">
        <x:v>Abraham</x:v>
      </x:c>
      <x:c r="G6" s="18" t="str">
        <x:v>Los casos ocultos no revelan detalles</x:v>
      </x:c>
    </x:row>
    <x:row r="7">
      <x:c r="A7" s="18" t="str">
        <x:v>IA/RAG</x:v>
      </x:c>
      <x:c r="B7" s="18" t="str">
        <x:v>Feedback con fuente y fallback</x:v>
      </x:c>
      <x:c r="C7" s="18" t="str">
        <x:v>Contrato válido y filtro por clase</x:v>
      </x:c>
      <x:c r="D7" s="18" t="str">
        <x:v>Conjunto de prueba de S5</x:v>
      </x:c>
      <x:c r="E7" s="18" t="str">
        <x:v>Planificado</x:v>
      </x:c>
      <x:c r="F7" s="18" t="str">
        <x:v>Marcelo</x:v>
      </x:c>
      <x:c r="G7" s="18" t="str">
        <x:v>Sin cálculo de notas, progreso o señales</x:v>
      </x:c>
    </x:row>
    <x:row r="8">
      <x:c r="A8" s="18" t="str">
        <x:v>Panel docente</x:v>
      </x:c>
      <x:c r="B8" s="18" t="str">
        <x:v>Agregados SQL y tres señales deterministas</x:v>
      </x:c>
      <x:c r="C8" s="18" t="str">
        <x:v>Reglas versionadas y explicables</x:v>
      </x:c>
      <x:c r="D8" s="18" t="str">
        <x:v>Pruebas de reglas de S6</x:v>
      </x:c>
      <x:c r="E8" s="18" t="str">
        <x:v>Planificado</x:v>
      </x:c>
      <x:c r="F8" s="18" t="str">
        <x:v>Benjamin</x:v>
      </x:c>
      <x:c r="G8" s="18" t="str">
        <x:v>Cálculo explicable mediante reglas</x:v>
      </x:c>
    </x:row>
    <x:row r="9">
      <x:c r="A9" s="18" t="str">
        <x:v>Administración</x:v>
      </x:c>
      <x:c r="B9" s="18" t="str">
        <x:v>Organizaciones, usuarios, cursos, banco, RAG, reglas y auditoría</x:v>
      </x:c>
      <x:c r="C9" s="18" t="str">
        <x:v>CRUD controlado, archivado y CSV operativo</x:v>
      </x:c>
      <x:c r="D9" s="18" t="str">
        <x:v>Pruebas de permisos S2–S7</x:v>
      </x:c>
      <x:c r="E9" s="18" t="str">
        <x:v>Planificado</x:v>
      </x:c>
      <x:c r="F9" s="18" t="str">
        <x:v>Equipo</x:v>
      </x:c>
      <x:c r="G9" s="18" t="str">
        <x:v>Compromiso del MVP con riesgo alto de alcance</x:v>
      </x:c>
    </x:row>
    <x:row r="10">
      <x:c r="A10" s="18" t="str">
        <x:v>Exclusión formal</x:v>
      </x:c>
      <x:c r="B10" s="18" t="str">
        <x:v>No aplica</x:v>
      </x:c>
      <x:c r="C10" s="18" t="str">
        <x:v>LMS completo, aplicación móvil nativa, SSO institucional, pagos y calificación automática de alto impacto quedan fuera del MVP.</x:v>
      </x:c>
      <x:c r="D10" s="18" t="str">
        <x:v>No se planifica evidencia</x:v>
      </x:c>
      <x:c r="E10" s="18" t="str">
        <x:v>Fuera de alcance</x:v>
      </x:c>
      <x:c r="F10" s="18" t="str">
        <x:v>Equipo</x:v>
      </x:c>
      <x:c r="G10" s="18" t="str">
        <x:v>Exclusiones funcionales confirmadas al cierre de la semana 4.</x:v>
      </x:c>
    </x:row>
  </x:sheetData>
  <x:mergeCells>
    <x:mergeCell ref="A1:G1"/>
    <x:mergeCell ref="A2:G2"/>
  </x:mergeCells>
  <x:pageMargins left="0.7" right="0.7" top="0.75" bottom="0.75" header="0.3" footer="0.3"/>
</x:worksheet>
</file>