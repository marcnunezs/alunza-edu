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9849c68ab74f4b" /></Relationships>
</file>

<file path=xl/workbook.xml><?xml version="1.0" encoding="utf-8"?>
<x:workbook xmlns:x="http://schemas.openxmlformats.org/spreadsheetml/2006/main">
  <x:sheets>
    <x:sheet xmlns:r="http://schemas.openxmlformats.org/officeDocument/2006/relationships" name="Sprint Backlog" sheetId="1" r:id="Rb15c212d3e504d7a"/>
    <x:sheet xmlns:r="http://schemas.openxmlformats.org/officeDocument/2006/relationships" name="Instructivo" sheetId="2" r:id="R5ddb9f9209b84671"/>
  </x:sheets>
</x:workbook>
</file>

<file path=xl/sharedStrings.xml><?xml version="1.0" encoding="utf-8"?>
<x:sst xmlns:x="http://schemas.openxmlformats.org/spreadsheetml/2006/main">
  <x:si>
    <x:t xml:space="preserve">Día 1</x:t>
  </x:si>
  <x:si>
    <x:t xml:space="preserve">Día 2</x:t>
  </x:si>
  <x:si>
    <x:t xml:space="preserve">Día 3</x:t>
  </x:si>
  <x:si>
    <x:t xml:space="preserve">Día 4</x:t>
  </x:si>
  <x:si>
    <x:t xml:space="preserve">Día 5</x:t>
  </x:si>
  <x:si>
    <x:t xml:space="preserve">Día 6</x:t>
  </x:si>
  <x:si>
    <x:t xml:space="preserve">Día 7</x:t>
  </x:si>
  <x:si>
    <x:t xml:space="preserve">Día 8</x:t>
  </x:si>
  <x:si>
    <x:t xml:space="preserve">Día 9</x:t>
  </x:si>
  <x:si>
    <x:t xml:space="preserve">Día 10</x:t>
  </x:si>
  <x:si>
    <x:t xml:space="preserve">Total</x:t>
  </x:si>
  <x:si>
    <x:t xml:space="preserve">Identificador (ID) de item de product backlog</x:t>
  </x:si>
  <x:si>
    <x:t xml:space="preserve">Enunciado del item de Product Backlog</x:t>
  </x:si>
  <x:si>
    <x:t xml:space="preserve">Tarea</x:t>
  </x:si>
  <x:si>
    <x:t xml:space="preserve">Dueño / Voluntario</x:t>
  </x:si>
  <x:si>
    <x:t xml:space="preserve">Estatus</x:t>
  </x:si>
  <x:si>
    <x:t xml:space="preserve">Horas estimadas totales</x:t>
  </x:si>
  <x:si>
    <x:t xml:space="preserve">Cons.</x:t>
  </x:si>
  <x:si>
    <x:t xml:space="preserve">Rest.</x:t>
  </x:si>
  <x:si>
    <x:t xml:space="preserve">Lista de tareas de la iteración (Sprint Backlog): Instructivo</x:t>
  </x:si>
  <x:si>
    <x:t xml:space="preserve">Elaborado por: pmoinformatica.com</x:t>
  </x:si>
  <x:si>
    <x:t xml:space="preserve">Columna</x:t>
  </x:si>
  <x:si>
    <x:t xml:space="preserve">Instrucciones</x:t>
  </x:si>
  <x:si>
    <x:t xml:space="preserve">Código que hace referencia al elemento de la pila de producto (Product Backlog) al cual la tarea de la iteración hace referencia.</x:t>
  </x:si>
  <x:si>
    <x: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x:t>
  </x:si>
  <x:si>
    <x: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x:t>
  </x:si>
  <x:si>
    <x: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x:t>
  </x:si>
  <x:si>
    <x: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x:t>
  </x:si>
  <x:si>
    <x:t xml:space="preserve">Horas que han sido estimadas por el equipo Scrum que serán necesarias para ejecutar la tarea. La asignación de estimados se realiza durante la reunión de planificación de la iteración (Sprint Planning Meeting).</x:t>
  </x:si>
  <x:si>
    <x:t xml:space="preserve">Día 1 …. Día n</x:t>
  </x:si>
  <x:si>
    <x:t xml:space="preserve">Una vez comienza a ejecutarse la iteración, se utilizan las columnas para llevar un registro de las horas que se han consumido en cada tarea y cuantas horas restan para completarla.</x:t>
  </x:si>
  <x:si>
    <x:t xml:space="preserve">Horas consumidas en la tarea en el día especificado.</x:t>
  </x:si>
  <x:si>
    <x:t xml:space="preserve">Horas que restan luego de registrarse el consumo diario. Se calcula tomando las horas que restaban el día anterior y se resta las horas consumidas en el día. Si se trata del primer día, se restan las horas del día 1 al estimado de horas totales.</x:t>
  </x:si>
  <x:si>
    <x:t xml:space="preserve">Registra la suma de todas las horas consumidas en el Sprint y las horas que restan finalmente. Las horas restantes deberían ser de cero si se logro ejecutar la tarea en su totalidad.</x:t>
  </x:si>
</x:sst>
</file>

<file path=xl/styles.xml><?xml version="1.0" encoding="utf-8"?>
<x:styleSheet xmlns:x="http://schemas.openxmlformats.org/spreadsheetml/2006/main">
  <x:fonts count="5">
    <x:font>
      <x:sz val="11"/>
      <x:color theme="1"/>
      <x:name val="Calibri"/>
    </x:font>
    <x:font>
      <x:sz val="11"/>
      <x:color theme="0"/>
      <x:name val="Calibri"/>
    </x:font>
    <x:font>
      <x:b/>
      <x:sz val="16"/>
      <x:color theme="3"/>
      <x:name val="Calibri"/>
    </x:font>
    <x:font>
      <x:b/>
      <x:sz val="22"/>
      <x:color theme="1"/>
      <x:name val="Calibri"/>
    </x:font>
    <x:font>
      <x:sz val="11"/>
      <x:color rgb="FF595959"/>
      <x:name val="Calibri"/>
    </x:font>
  </x:fonts>
  <x:fills count="7">
    <x:fill>
      <x:patternFill patternType="none"/>
    </x:fill>
    <x:fill>
      <x:patternFill patternType="gray125"/>
    </x:fill>
    <x:fill>
      <x:patternFill patternType="solid">
        <x:fgColor theme="3"/>
      </x:patternFill>
    </x:fill>
    <x:fill>
      <x:patternFill patternType="solid">
        <x:fgColor theme="0"/>
      </x:patternFill>
    </x:fill>
    <x:fill>
      <x:patternFill patternType="solid">
        <x:fgColor theme="6" tint="0.59999"/>
      </x:patternFill>
    </x:fill>
    <x:fill>
      <x:patternFill patternType="solid">
        <x:fgColor theme="4" tint="0.59999"/>
      </x:patternFill>
    </x:fill>
    <x:fill>
      <x:patternFill patternType="solid">
        <x:fgColor rgb="FFE7E6E6"/>
      </x:patternFill>
    </x:fill>
  </x:fills>
  <x:borders count="6">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top style="thin">
        <x:color indexed="64"/>
      </x:top>
      <x:bottom style="thin">
        <x:color indexed="64"/>
      </x:bottom>
    </x:border>
  </x:borders>
  <x:cellStyleXfs count="1">
    <x:xf numFmtId="0" fontId="0" fillId="0" borderId="0"/>
  </x:cellStyleXfs>
  <x:cellXfs count="27">
    <x:xf numFmtId="0" fontId="0" fillId="0" borderId="0" xfId="0"/>
    <x:xf numFmtId="0" fontId="1" fillId="2" borderId="1" xfId="0" applyFont="1" applyFill="1" applyBorder="1"/>
    <x:xf numFmtId="0" fontId="0" fillId="3" borderId="0" xfId="0" applyFill="1" applyBorder="1"/>
    <x:xf numFmtId="0" fontId="2" fillId="3" borderId="0" xfId="0" applyFont="1" applyFill="1" applyBorder="1"/>
    <x:xf numFmtId="0" fontId="0" fillId="3" borderId="0" xfId="0" applyFill="1"/>
    <x:xf numFmtId="0" fontId="0" fillId="3" borderId="1" xfId="0" applyFill="1" applyBorder="1" applyAlignment="1">
      <x:alignment horizontal="left" vertical="top" wrapText="1"/>
    </x:xf>
    <x:xf numFmtId="0" fontId="1" fillId="2" borderId="1" xfId="0" applyFont="1" applyFill="1" applyBorder="1" applyAlignment="1">
      <x:alignment horizontal="center" vertical="center" wrapText="1"/>
    </x:xf>
    <x:xf numFmtId="0" fontId="1" fillId="2" borderId="1" xfId="0" applyFont="1" applyFill="1" applyBorder="1" applyAlignment="1">
      <x:alignment horizontal="center" vertical="center" wrapText="1"/>
    </x:xf>
    <x:xf numFmtId="0" fontId="1" fillId="2" borderId="2" xfId="0" applyFont="1" applyFill="1" applyBorder="1" applyAlignment="1">
      <x:alignment horizontal="center" vertical="center" wrapText="1"/>
    </x:xf>
    <x:xf numFmtId="0" fontId="0" fillId="3" borderId="1" xfId="0" applyFill="1" applyBorder="1" applyAlignment="1">
      <x:alignment horizontal="right" vertical="top" wrapText="1"/>
    </x:xf>
    <x:xf numFmtId="0" fontId="1" fillId="2" borderId="5" xfId="0" applyFont="1" applyFill="1" applyBorder="1" applyAlignment="1">
      <x:alignment horizontal="center" vertical="center" wrapText="1"/>
    </x:xf>
    <x:xf numFmtId="0" fontId="0" fillId="4" borderId="1" xfId="0" applyFill="1" applyBorder="1" applyAlignment="1">
      <x:alignment horizontal="right" vertical="top" wrapText="1"/>
    </x:xf>
    <x:xf numFmtId="0" fontId="0" fillId="5" borderId="1" xfId="0" applyFill="1" applyBorder="1" applyAlignment="1">
      <x:alignment horizontal="right" vertical="top" wrapText="1"/>
    </x:xf>
    <x:xf numFmtId="0" fontId="3" fillId="3" borderId="0" xfId="0" applyFont="1" applyFill="1" applyBorder="1"/>
    <x:xf numFmtId="0" fontId="1" fillId="2" borderId="3" xfId="0" applyFont="1" applyFill="1" applyBorder="1" applyAlignment="1">
      <x:alignment horizontal="center" vertical="center" wrapText="1"/>
    </x:xf>
    <x:xf numFmtId="0" fontId="1" fillId="2" borderId="4" xfId="0" applyFont="1" applyFill="1" applyBorder="1" applyAlignment="1">
      <x:alignment horizontal="center" vertical="center" wrapText="1"/>
    </x:xf>
    <x:xf numFmtId="0" fontId="0" fillId="3" borderId="1" xfId="0" applyNumberFormat="1" applyFont="1" applyFill="1" applyBorder="1" applyAlignment="1">
      <x:alignment horizontal="left" vertical="top" wrapText="1"/>
    </x:xf>
    <x:xf numFmtId="0" fontId="1" fillId="6" borderId="3" xfId="0" applyNumberFormat="1" applyFont="1" applyFill="1" applyBorder="1" applyAlignment="1">
      <x:alignment horizontal="center" vertical="center" wrapText="1"/>
    </x:xf>
    <x:xf numFmtId="0" fontId="1" fillId="6" borderId="4" xfId="0" applyNumberFormat="1" applyFont="1" applyFill="1" applyBorder="1" applyAlignment="1">
      <x:alignment horizontal="center" vertical="center" wrapText="1"/>
    </x:xf>
    <x:xf numFmtId="0" fontId="1" fillId="6" borderId="5"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0" fillId="6" borderId="1" xfId="0" applyNumberFormat="1" applyFont="1" applyFill="1" applyBorder="1" applyAlignment="1">
      <x:alignment horizontal="right" vertical="top" wrapText="1"/>
    </x:xf>
    <x:xf numFmtId="0" fontId="4" fillId="6" borderId="3" xfId="0" applyNumberFormat="1" applyFont="1" applyFill="1" applyBorder="1" applyAlignment="1">
      <x:alignment horizontal="center" vertical="center" wrapText="1"/>
    </x:xf>
    <x:xf numFmtId="0" fontId="4" fillId="6" borderId="4" xfId="0" applyNumberFormat="1" applyFont="1" applyFill="1" applyBorder="1" applyAlignment="1">
      <x:alignment horizontal="center" vertical="center" wrapText="1"/>
    </x:xf>
    <x:xf numFmtId="0" fontId="4" fillId="6" borderId="5" xfId="0" applyNumberFormat="1" applyFont="1" applyFill="1" applyBorder="1" applyAlignment="1">
      <x:alignment horizontal="center" vertical="center" wrapText="1"/>
    </x:xf>
    <x:xf numFmtId="0" fontId="4" fillId="6" borderId="2" xfId="0" applyNumberFormat="1" applyFont="1" applyFill="1" applyBorder="1" applyAlignment="1">
      <x:alignment horizontal="center" vertical="center" wrapText="1"/>
    </x:xf>
    <x:xf numFmtId="0" fontId="4" fillId="6" borderId="1"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0c2bb840c043c1" /><Relationship Type="http://schemas.openxmlformats.org/officeDocument/2006/relationships/theme" Target="/xl/theme/theme1.xml" Id="R2bfab0f11df14017" /><Relationship Type="http://schemas.openxmlformats.org/officeDocument/2006/relationships/sharedStrings" Target="/xl/sharedStrings.xml" Id="R276d8523c4804d45" /><Relationship Type="http://schemas.openxmlformats.org/officeDocument/2006/relationships/worksheet" Target="/xl/worksheets/sheet1.xml" Id="Rb15c212d3e504d7a" /><Relationship Type="http://schemas.openxmlformats.org/officeDocument/2006/relationships/worksheet" Target="/xl/worksheets/sheet2.xml" Id="R5ddb9f9209b8467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RowHeight="15"/>
  <x:cols>
    <x:col min="1" max="1" width="1.42578125" style="2" customWidth="1"/>
    <x:col min="2" max="2" width="16" style="2" hidden="0" customWidth="1"/>
    <x:col min="3" max="3" width="50" style="2" hidden="0" customWidth="1"/>
    <x:col min="4" max="4" width="34" style="2" hidden="0" customWidth="1"/>
    <x:col min="5" max="5" width="17" style="2" hidden="0" customWidth="1"/>
    <x:col min="6" max="6" width="13" style="2" hidden="0" customWidth="1"/>
    <x:col min="7" max="7" width="12" style="2" hidden="0" customWidth="1"/>
    <x:col min="8" max="8" width="5.85546875" style="2" customWidth="1"/>
    <x:col min="9" max="9" width="5.42578125" style="2" customWidth="1"/>
    <x:col min="10" max="10" width="2.7109375" style="2" customWidth="1"/>
    <x:col min="11" max="11" width="5.85546875" style="2" customWidth="1"/>
    <x:col min="12" max="12" width="5.42578125" style="2" customWidth="1"/>
    <x:col min="13" max="13" width="2.7109375" style="2" customWidth="1"/>
    <x:col min="14" max="14" width="5.85546875" style="2" customWidth="1"/>
    <x:col min="15" max="15" width="5.42578125" style="2" customWidth="1"/>
    <x:col min="16" max="16" width="2.7109375" style="2" customWidth="1"/>
    <x:col min="17" max="17" width="5.85546875" style="2" customWidth="1"/>
    <x:col min="18" max="18" width="5.42578125" style="2" customWidth="1"/>
    <x:col min="19" max="19" width="2.7109375" style="2" customWidth="1"/>
    <x:col min="20" max="20" width="5.85546875" style="2" customWidth="1"/>
    <x:col min="21" max="21" width="5.42578125" style="2" customWidth="1"/>
    <x:col min="22" max="22" width="2.7109375" style="2" customWidth="1"/>
    <x:col min="23" max="23" width="5.85546875" style="2" customWidth="1"/>
    <x:col min="24" max="24" width="5.42578125" style="2" customWidth="1"/>
    <x:col min="25" max="25" width="2.7109375" style="2" customWidth="1"/>
    <x:col min="26" max="26" width="5.85546875" style="2" customWidth="1"/>
    <x:col min="27" max="27" width="5.42578125" style="2" customWidth="1"/>
    <x:col min="28" max="28" width="2.7109375" style="2" customWidth="1"/>
    <x:col min="29" max="29" width="5.85546875" style="2" customWidth="1"/>
    <x:col min="30" max="30" width="5.42578125" style="2" customWidth="1"/>
    <x:col min="31" max="31" width="2.7109375" style="2" customWidth="1"/>
    <x:col min="32" max="32" width="5.85546875" style="2" customWidth="1"/>
    <x:col min="33" max="33" width="5.42578125" style="2" customWidth="1"/>
    <x:col min="34" max="34" width="2.7109375" style="2" customWidth="1"/>
    <x:col min="35" max="35" width="5.85546875" style="2" customWidth="1"/>
    <x:col min="36" max="36" width="5.42578125" style="2" customWidth="1"/>
    <x:col min="37" max="37" width="2.7109375" style="2" customWidth="1"/>
    <x:col min="38" max="38" width="5.85546875" style="2" customWidth="1"/>
    <x:col min="39" max="39" width="5.42578125" style="2" customWidth="1"/>
    <x:col min="40" max="40" width="2.7109375" style="2" customWidth="1"/>
    <x:col min="41" max="41" width="5.85546875" style="2" customWidth="1"/>
    <x:col min="42" max="42" width="5.42578125" style="2" customWidth="1"/>
    <x:col min="43" max="43" width="2.7109375" style="2" customWidth="1"/>
    <x:col min="44" max="44" width="5.85546875" style="2" customWidth="1"/>
    <x:col min="45" max="45" width="5.42578125" style="2" customWidth="1"/>
    <x:col min="46" max="46" width="2.7109375" style="2" customWidth="1"/>
    <x:col min="47" max="47" width="5.85546875" style="2" customWidth="1"/>
    <x:col min="48" max="48" width="5.42578125" style="2" customWidth="1"/>
    <x:col min="49" max="49" width="2.7109375" style="2" customWidth="1"/>
    <x:col min="50" max="50" width="5.85546875" style="2" customWidth="1"/>
    <x:col min="51" max="51" width="5.42578125" style="2" customWidth="1"/>
    <x:col min="52" max="52" width="2.7109375" style="2" customWidth="1"/>
    <x:col min="53" max="53" width="5.85546875" style="2" customWidth="1"/>
    <x:col min="54" max="54" width="5.42578125" style="2" customWidth="1"/>
    <x:col min="55" max="55" width="2.7109375" style="2" customWidth="1"/>
    <x:col min="56" max="56" width="5.85546875" style="2" customWidth="1"/>
    <x:col min="57" max="57" width="5.42578125" style="2" customWidth="1"/>
    <x:col min="58" max="58" width="2.7109375" style="2" customWidth="1"/>
    <x:col min="59" max="59" width="5.85546875" style="2" customWidth="1"/>
    <x:col min="60" max="60" width="5.42578125" style="2" customWidth="1"/>
    <x:col min="61" max="61" width="2.7109375" style="2" customWidth="1"/>
    <x:col min="62" max="62" width="5.85546875" style="2" customWidth="1"/>
    <x:col min="63" max="63" width="5.42578125" style="2" customWidth="1"/>
    <x:col min="64" max="64" width="2.7109375" style="2" customWidth="1"/>
    <x:col min="65" max="65" width="5.85546875" style="2" customWidth="1"/>
    <x:col min="66" max="66" width="5.42578125" style="2" customWidth="1"/>
    <x:col min="67" max="67" width="2.7109375" style="2" customWidth="1"/>
    <x:col min="68" max="68" width="5.85546875" style="2" customWidth="1"/>
    <x:col min="69" max="69" width="5.42578125" style="2" customWidth="1"/>
    <x:col min="70" max="16384" width="11.42578125" style="2" customWidth="0"/>
  </x:cols>
  <x:sheetData>
    <x:row r="1" ht="28.5">
      <x:c r="B1" s="13" t="str">
        <x:v>Metodologías ágiles: Lista de tareas de la iteración — Alunza</x:v>
      </x:c>
    </x:row>
    <x:row r="2" ht="28.5">
      <x:c r="B2" s="13" t="str">
        <x:v>Sprint 2 · Base de plataforma · Semanas 5–6 · 10 días hábiles</x:v>
      </x:c>
    </x:row>
    <x:row r="3" ht="21">
      <x:c r="B3" s="3" t="str">
        <x:v>Proyecto CAPSTONE 2026-2 · Alunza — Tutor Universitario Inteligente para Programación I</x:v>
      </x:c>
    </x:row>
    <x:row r="4">
      <x:c r="H4" s="14" t="s">
        <x:v>0</x:v>
      </x:c>
      <x:c r="I4" s="15"/>
      <x:c r="J4" s="10"/>
      <x:c r="K4" s="14" t="s">
        <x:v>1</x:v>
      </x:c>
      <x:c r="L4" s="15"/>
      <x:c r="M4" s="10"/>
      <x:c r="N4" s="14" t="s">
        <x:v>2</x:v>
      </x:c>
      <x:c r="O4" s="15"/>
      <x:c r="P4" s="10"/>
      <x:c r="Q4" s="14" t="s">
        <x:v>3</x:v>
      </x:c>
      <x:c r="R4" s="15"/>
      <x:c r="S4" s="10"/>
      <x:c r="T4" s="14" t="s">
        <x:v>4</x:v>
      </x:c>
      <x:c r="U4" s="15"/>
      <x:c r="V4" s="10"/>
      <x:c r="W4" s="14" t="s">
        <x:v>5</x:v>
      </x:c>
      <x:c r="X4" s="15"/>
      <x:c r="Y4" s="10"/>
      <x:c r="Z4" s="14" t="s">
        <x:v>6</x:v>
      </x:c>
      <x:c r="AA4" s="15"/>
      <x:c r="AB4" s="10"/>
      <x:c r="AC4" s="14" t="s">
        <x:v>7</x:v>
      </x:c>
      <x:c r="AD4" s="15"/>
      <x:c r="AE4" s="10"/>
      <x:c r="AF4" s="14" t="s">
        <x:v>8</x:v>
      </x:c>
      <x:c r="AG4" s="15"/>
      <x:c r="AH4" s="10"/>
      <x:c r="AI4" s="14" t="s">
        <x:v>9</x:v>
      </x:c>
      <x:c r="AJ4" s="15"/>
      <x:c r="AK4" s="10"/>
      <x:c r="AL4" s="22" t="str">
        <x:v>Día 11 · No aplica</x:v>
      </x:c>
      <x:c r="AM4" s="23"/>
      <x:c r="AN4" s="24"/>
      <x:c r="AO4" s="22" t="str">
        <x:v>Día 12 · No aplica</x:v>
      </x:c>
      <x:c r="AP4" s="23"/>
      <x:c r="AQ4" s="24"/>
      <x:c r="AR4" s="22" t="str">
        <x:v>Día 13 · No aplica</x:v>
      </x:c>
      <x:c r="AS4" s="23"/>
      <x:c r="AT4" s="24"/>
      <x:c r="AU4" s="22" t="str">
        <x:v>Día 14 · No aplica</x:v>
      </x:c>
      <x:c r="AV4" s="23"/>
      <x:c r="AW4" s="24"/>
      <x:c r="AX4" s="22" t="str">
        <x:v>Día 15 · No aplica</x:v>
      </x:c>
      <x:c r="AY4" s="23"/>
      <x:c r="AZ4" s="24"/>
      <x:c r="BA4" s="22" t="str">
        <x:v>Día 16 · No aplica</x:v>
      </x:c>
      <x:c r="BB4" s="23"/>
      <x:c r="BC4" s="24"/>
      <x:c r="BD4" s="22" t="str">
        <x:v>Día 17 · No aplica</x:v>
      </x:c>
      <x:c r="BE4" s="23"/>
      <x:c r="BF4" s="24"/>
      <x:c r="BG4" s="22" t="str">
        <x:v>Día 18 · No aplica</x:v>
      </x:c>
      <x:c r="BH4" s="23"/>
      <x:c r="BI4" s="24"/>
      <x:c r="BJ4" s="22" t="str">
        <x:v>Día 19 · No aplica</x:v>
      </x:c>
      <x:c r="BK4" s="23"/>
      <x:c r="BL4" s="24"/>
      <x:c r="BM4" s="22" t="str">
        <x:v>Día 20 · No aplica</x:v>
      </x:c>
      <x:c r="BN4" s="23"/>
      <x:c r="BO4" s="24"/>
      <x:c r="BP4" s="14" t="s">
        <x:v>10</x:v>
      </x:c>
      <x:c r="BQ4" s="15"/>
    </x:row>
    <x:row r="5" ht="48" customHeight="1">
      <x:c r="B5" s="6" t="s">
        <x:v>11</x:v>
      </x:c>
      <x:c r="C5" s="7" t="s">
        <x:v>12</x:v>
      </x:c>
      <x:c r="D5" s="7" t="s">
        <x:v>13</x:v>
      </x:c>
      <x:c r="E5" s="7" t="s">
        <x:v>14</x:v>
      </x:c>
      <x:c r="F5" s="7" t="s">
        <x:v>15</x:v>
      </x:c>
      <x:c r="G5" s="7" t="s">
        <x:v>16</x:v>
      </x:c>
      <x:c r="H5" s="8" t="s">
        <x:v>17</x:v>
      </x:c>
      <x:c r="I5" s="8" t="s">
        <x:v>18</x:v>
      </x:c>
      <x:c r="J5" s="8"/>
      <x:c r="K5" s="8" t="s">
        <x:v>17</x:v>
      </x:c>
      <x:c r="L5" s="8" t="s">
        <x:v>18</x:v>
      </x:c>
      <x:c r="M5" s="8"/>
      <x:c r="N5" s="8" t="s">
        <x:v>17</x:v>
      </x:c>
      <x:c r="O5" s="8" t="s">
        <x:v>18</x:v>
      </x:c>
      <x:c r="P5" s="8"/>
      <x:c r="Q5" s="8" t="s">
        <x:v>17</x:v>
      </x:c>
      <x:c r="R5" s="8" t="s">
        <x:v>18</x:v>
      </x:c>
      <x:c r="S5" s="8"/>
      <x:c r="T5" s="8" t="s">
        <x:v>17</x:v>
      </x:c>
      <x:c r="U5" s="8" t="s">
        <x:v>18</x:v>
      </x:c>
      <x:c r="V5" s="8"/>
      <x:c r="W5" s="8" t="s">
        <x:v>17</x:v>
      </x:c>
      <x:c r="X5" s="8" t="s">
        <x:v>18</x:v>
      </x:c>
      <x:c r="Y5" s="8"/>
      <x:c r="Z5" s="8" t="s">
        <x:v>17</x:v>
      </x:c>
      <x:c r="AA5" s="8" t="s">
        <x:v>18</x:v>
      </x:c>
      <x:c r="AB5" s="8"/>
      <x:c r="AC5" s="8" t="s">
        <x:v>17</x:v>
      </x:c>
      <x:c r="AD5" s="8" t="s">
        <x:v>18</x:v>
      </x:c>
      <x:c r="AE5" s="8"/>
      <x:c r="AF5" s="8" t="s">
        <x:v>17</x:v>
      </x:c>
      <x:c r="AG5" s="8" t="s">
        <x:v>18</x:v>
      </x:c>
      <x:c r="AH5" s="8"/>
      <x:c r="AI5" s="8" t="s">
        <x:v>17</x:v>
      </x:c>
      <x:c r="AJ5" s="8" t="s">
        <x:v>18</x:v>
      </x:c>
      <x:c r="AK5" s="8"/>
      <x:c r="AL5" s="25" t="s">
        <x:v>17</x:v>
      </x:c>
      <x:c r="AM5" s="25" t="s">
        <x:v>18</x:v>
      </x:c>
      <x:c r="AN5" s="25"/>
      <x:c r="AO5" s="25" t="s">
        <x:v>17</x:v>
      </x:c>
      <x:c r="AP5" s="25" t="s">
        <x:v>18</x:v>
      </x:c>
      <x:c r="AQ5" s="25"/>
      <x:c r="AR5" s="25" t="s">
        <x:v>17</x:v>
      </x:c>
      <x:c r="AS5" s="25" t="s">
        <x:v>18</x:v>
      </x:c>
      <x:c r="AT5" s="25"/>
      <x:c r="AU5" s="25" t="s">
        <x:v>17</x:v>
      </x:c>
      <x:c r="AV5" s="25" t="s">
        <x:v>18</x:v>
      </x:c>
      <x:c r="AW5" s="25"/>
      <x:c r="AX5" s="25" t="s">
        <x:v>17</x:v>
      </x:c>
      <x:c r="AY5" s="25" t="s">
        <x:v>18</x:v>
      </x:c>
      <x:c r="AZ5" s="25"/>
      <x:c r="BA5" s="25" t="s">
        <x:v>17</x:v>
      </x:c>
      <x:c r="BB5" s="25" t="s">
        <x:v>18</x:v>
      </x:c>
      <x:c r="BC5" s="25"/>
      <x:c r="BD5" s="25" t="s">
        <x:v>17</x:v>
      </x:c>
      <x:c r="BE5" s="25" t="s">
        <x:v>18</x:v>
      </x:c>
      <x:c r="BF5" s="25"/>
      <x:c r="BG5" s="25" t="s">
        <x:v>17</x:v>
      </x:c>
      <x:c r="BH5" s="25" t="s">
        <x:v>18</x:v>
      </x:c>
      <x:c r="BI5" s="25"/>
      <x:c r="BJ5" s="25" t="s">
        <x:v>17</x:v>
      </x:c>
      <x:c r="BK5" s="25" t="s">
        <x:v>18</x:v>
      </x:c>
      <x:c r="BL5" s="25"/>
      <x:c r="BM5" s="25" t="s">
        <x:v>17</x:v>
      </x:c>
      <x:c r="BN5" s="25" t="s">
        <x:v>18</x:v>
      </x:c>
      <x:c r="BO5" s="25"/>
      <x:c r="BP5" s="8" t="str">
        <x:v>Total consumido</x:v>
      </x:c>
      <x:c r="BQ5" s="8" t="str">
        <x:v>Total restante</x:v>
      </x:c>
    </x:row>
    <x:row r="6" ht="38" customHeight="1">
      <x:c r="B6" s="16" t="str">
        <x:v>ALZ-HU-001</x:v>
      </x:c>
      <x:c r="C6" s="16" t="str">
        <x:v>Como profesor o estudiante, necesito iniciar sesión de forma segura, con la finalidad de acceder únicamente a las funciones y clases autorizadas.</x:v>
      </x:c>
      <x:c r="D6" s="16" t="str">
        <x:v>Definir modelo de usuario y roles</x:v>
      </x:c>
      <x:c r="E6" s="16" t="str">
        <x:v>Marcelo Núñez</x:v>
      </x:c>
      <x:c r="F6" s="16" t="str">
        <x:v>Por iniciar</x:v>
      </x:c>
      <x:c r="G6" s="16" t="n">
        <x:v>6</x:v>
      </x:c>
      <x:c r="H6" s="9" t="n">
        <x:v>0</x:v>
      </x:c>
      <x:c r="I6" s="9" t="n">
        <x:f>G6-H6</x:f>
        <x:v>6</x:v>
      </x:c>
      <x:c r="J6" s="11"/>
      <x:c r="K6" s="9" t="n">
        <x:v>0</x:v>
      </x:c>
      <x:c r="L6" s="9" t="n">
        <x:f t="shared" ref="L6:L17" si="0">I6-K6</x:f>
        <x:v>6</x:v>
      </x:c>
      <x:c r="M6" s="11"/>
      <x:c r="N6" s="9" t="n">
        <x:v>0</x:v>
      </x:c>
      <x:c r="O6" s="9" t="n">
        <x:f t="shared" ref="O6:O17" si="1">L6-N6</x:f>
        <x:v>6</x:v>
      </x:c>
      <x:c r="P6" s="11"/>
      <x:c r="Q6" s="9" t="n">
        <x:v>0</x:v>
      </x:c>
      <x:c r="R6" s="9" t="n">
        <x:f t="shared" ref="R6:R17" si="2">O6-Q6</x:f>
        <x:v>6</x:v>
      </x:c>
      <x:c r="S6" s="11"/>
      <x:c r="T6" s="9" t="n">
        <x:v>0</x:v>
      </x:c>
      <x:c r="U6" s="9" t="n">
        <x:f t="shared" ref="U6:U17" si="3">R6-T6</x:f>
        <x:v>6</x:v>
      </x:c>
      <x:c r="V6" s="11"/>
      <x:c r="W6" s="9" t="n">
        <x:v>0</x:v>
      </x:c>
      <x:c r="X6" s="9" t="n">
        <x:f t="shared" ref="X6:X17" si="4">U6-W6</x:f>
        <x:v>6</x:v>
      </x:c>
      <x:c r="Y6" s="11"/>
      <x:c r="Z6" s="9" t="n">
        <x:v>0</x:v>
      </x:c>
      <x:c r="AA6" s="9" t="n">
        <x:f t="shared" ref="AA6:AA17" si="5">X6-Z6</x:f>
        <x:v>6</x:v>
      </x:c>
      <x:c r="AB6" s="11"/>
      <x:c r="AC6" s="9" t="n">
        <x:v>0</x:v>
      </x:c>
      <x:c r="AD6" s="9" t="n">
        <x:f t="shared" ref="AD6:AD17" si="6">AA6-AC6</x:f>
        <x:v>6</x:v>
      </x:c>
      <x:c r="AE6" s="11"/>
      <x:c r="AF6" s="9" t="n">
        <x:v>0</x:v>
      </x:c>
      <x:c r="AG6" s="9" t="n">
        <x:f t="shared" ref="AG6:AG17" si="7">AD6-AF6</x:f>
        <x:v>6</x:v>
      </x:c>
      <x:c r="AH6" s="11"/>
      <x:c r="AI6" s="9" t="n">
        <x:v>0</x:v>
      </x:c>
      <x:c r="AJ6" s="9" t="n">
        <x:f t="shared" ref="AJ6:AJ17" si="8">AG6-AI6</x:f>
        <x:v>6</x:v>
      </x:c>
      <x:c r="AK6" s="11"/>
      <x:c r="AL6" s="26" t="n">
        <x:v>0</x:v>
      </x:c>
      <x:c r="AM6" s="26" t="n">
        <x:f t="shared" ref="AM6:AM17" si="9">AJ6-AL6</x:f>
        <x:v>6</x:v>
      </x:c>
      <x:c r="AN6" s="26"/>
      <x:c r="AO6" s="26" t="n">
        <x:v>0</x:v>
      </x:c>
      <x:c r="AP6" s="26" t="n">
        <x:f t="shared" ref="AP6:AP17" si="10">AM6-AO6</x:f>
        <x:v>6</x:v>
      </x:c>
      <x:c r="AQ6" s="26"/>
      <x:c r="AR6" s="26" t="n">
        <x:v>0</x:v>
      </x:c>
      <x:c r="AS6" s="26" t="n">
        <x:f t="shared" ref="AS6:AS17" si="11">AP6-AR6</x:f>
        <x:v>6</x:v>
      </x:c>
      <x:c r="AT6" s="26"/>
      <x:c r="AU6" s="26" t="n">
        <x:v>0</x:v>
      </x:c>
      <x:c r="AV6" s="26" t="n">
        <x:f t="shared" ref="AV6:AV17" si="12">AS6-AU6</x:f>
        <x:v>6</x:v>
      </x:c>
      <x:c r="AW6" s="26"/>
      <x:c r="AX6" s="26" t="n">
        <x:v>0</x:v>
      </x:c>
      <x:c r="AY6" s="26" t="n">
        <x:f t="shared" ref="AY6:AY17" si="13">AV6-AX6</x:f>
        <x:v>6</x:v>
      </x:c>
      <x:c r="AZ6" s="26"/>
      <x:c r="BA6" s="26" t="n">
        <x:v>0</x:v>
      </x:c>
      <x:c r="BB6" s="26" t="n">
        <x:f t="shared" ref="BB6:BB17" si="14">AY6-BA6</x:f>
        <x:v>6</x:v>
      </x:c>
      <x:c r="BC6" s="26"/>
      <x:c r="BD6" s="26" t="n">
        <x:v>0</x:v>
      </x:c>
      <x:c r="BE6" s="26" t="n">
        <x:f t="shared" ref="BE6:BE17" si="15">BB6-BD6</x:f>
        <x:v>6</x:v>
      </x:c>
      <x:c r="BF6" s="26"/>
      <x:c r="BG6" s="26" t="n">
        <x:v>0</x:v>
      </x:c>
      <x:c r="BH6" s="26" t="n">
        <x:f t="shared" ref="BH6:BH17" si="16">BE6-BG6</x:f>
        <x:v>6</x:v>
      </x:c>
      <x:c r="BI6" s="26"/>
      <x:c r="BJ6" s="26" t="n">
        <x:v>0</x:v>
      </x:c>
      <x:c r="BK6" s="26" t="n">
        <x:f t="shared" ref="BK6:BK17" si="17">BH6-BJ6</x:f>
        <x:v>6</x:v>
      </x:c>
      <x:c r="BL6" s="26"/>
      <x:c r="BM6" s="26" t="n">
        <x:v>0</x:v>
      </x:c>
      <x:c r="BN6" s="26" t="n">
        <x:f>BK6-BM6</x:f>
        <x:v>6</x:v>
      </x:c>
      <x:c r="BO6" s="26"/>
      <x:c r="BP6" s="12" t="n">
        <x:f>SUM(H6,K6,N6,Q6,T6,W6,Z6,AC6,AF6,AI6,AL6,AO6,AR6,AU6,AX6,BA6,BD6,BG6,BJ6,BM6)</x:f>
        <x:v>0</x:v>
      </x:c>
      <x:c r="BQ6" s="12" t="n">
        <x:f>G6-BP6</x:f>
        <x:v>6</x:v>
      </x:c>
    </x:row>
    <x:row r="7" ht="38" customHeight="1">
      <x:c r="B7" s="16"/>
      <x:c r="C7" s="16"/>
      <x:c r="D7" s="16" t="str">
        <x:v>Implementar autenticación y sesiones</x:v>
      </x:c>
      <x:c r="E7" s="16" t="str">
        <x:v>Marcelo Núñez</x:v>
      </x:c>
      <x:c r="F7" s="16" t="str">
        <x:v>Por iniciar</x:v>
      </x:c>
      <x:c r="G7" s="16" t="n">
        <x:v>10</x:v>
      </x:c>
      <x:c r="H7" s="9" t="n">
        <x:v>0</x:v>
      </x:c>
      <x:c r="I7" s="9" t="n">
        <x:f t="shared" ref="I7:I17" si="18">G7-H7</x:f>
        <x:v>10</x:v>
      </x:c>
      <x:c r="J7" s="11"/>
      <x:c r="K7" s="9" t="n">
        <x:v>0</x:v>
      </x:c>
      <x:c r="L7" s="9" t="n">
        <x:f t="shared" si="0">I7-K7</x:f>
        <x:v>10</x:v>
      </x:c>
      <x:c r="M7" s="11"/>
      <x:c r="N7" s="9" t="n">
        <x:v>0</x:v>
      </x:c>
      <x:c r="O7" s="9" t="n">
        <x:f t="shared" si="1">L7-N7</x:f>
        <x:v>10</x:v>
      </x:c>
      <x:c r="P7" s="11"/>
      <x:c r="Q7" s="9" t="n">
        <x:v>0</x:v>
      </x:c>
      <x:c r="R7" s="9" t="n">
        <x:f t="shared" si="2">O7-Q7</x:f>
        <x:v>10</x:v>
      </x:c>
      <x:c r="S7" s="11"/>
      <x:c r="T7" s="9" t="n">
        <x:v>0</x:v>
      </x:c>
      <x:c r="U7" s="9" t="n">
        <x:f t="shared" si="3">R7-T7</x:f>
        <x:v>10</x:v>
      </x:c>
      <x:c r="V7" s="11"/>
      <x:c r="W7" s="9" t="n">
        <x:v>0</x:v>
      </x:c>
      <x:c r="X7" s="9" t="n">
        <x:f t="shared" si="4">U7-W7</x:f>
        <x:v>10</x:v>
      </x:c>
      <x:c r="Y7" s="11"/>
      <x:c r="Z7" s="9" t="n">
        <x:v>0</x:v>
      </x:c>
      <x:c r="AA7" s="9" t="n">
        <x:f t="shared" si="5">X7-Z7</x:f>
        <x:v>10</x:v>
      </x:c>
      <x:c r="AB7" s="11"/>
      <x:c r="AC7" s="9" t="n">
        <x:v>0</x:v>
      </x:c>
      <x:c r="AD7" s="9" t="n">
        <x:f t="shared" si="6">AA7-AC7</x:f>
        <x:v>10</x:v>
      </x:c>
      <x:c r="AE7" s="11"/>
      <x:c r="AF7" s="9" t="n">
        <x:v>0</x:v>
      </x:c>
      <x:c r="AG7" s="9" t="n">
        <x:f t="shared" si="7">AD7-AF7</x:f>
        <x:v>10</x:v>
      </x:c>
      <x:c r="AH7" s="11"/>
      <x:c r="AI7" s="9" t="n">
        <x:v>0</x:v>
      </x:c>
      <x:c r="AJ7" s="9" t="n">
        <x:f t="shared" si="8">AG7-AI7</x:f>
        <x:v>10</x:v>
      </x:c>
      <x:c r="AK7" s="11"/>
      <x:c r="AL7" s="26" t="n">
        <x:v>0</x:v>
      </x:c>
      <x:c r="AM7" s="26" t="n">
        <x:f t="shared" si="9">AJ7-AL7</x:f>
        <x:v>10</x:v>
      </x:c>
      <x:c r="AN7" s="26"/>
      <x:c r="AO7" s="26" t="n">
        <x:v>0</x:v>
      </x:c>
      <x:c r="AP7" s="26" t="n">
        <x:f t="shared" si="10">AM7-AO7</x:f>
        <x:v>10</x:v>
      </x:c>
      <x:c r="AQ7" s="26"/>
      <x:c r="AR7" s="26" t="n">
        <x:v>0</x:v>
      </x:c>
      <x:c r="AS7" s="26" t="n">
        <x:f t="shared" si="11">AP7-AR7</x:f>
        <x:v>10</x:v>
      </x:c>
      <x:c r="AT7" s="26"/>
      <x:c r="AU7" s="26" t="n">
        <x:v>0</x:v>
      </x:c>
      <x:c r="AV7" s="26" t="n">
        <x:f t="shared" si="12">AS7-AU7</x:f>
        <x:v>10</x:v>
      </x:c>
      <x:c r="AW7" s="26"/>
      <x:c r="AX7" s="26" t="n">
        <x:v>0</x:v>
      </x:c>
      <x:c r="AY7" s="26" t="n">
        <x:f t="shared" si="13">AV7-AX7</x:f>
        <x:v>10</x:v>
      </x:c>
      <x:c r="AZ7" s="26"/>
      <x:c r="BA7" s="26" t="n">
        <x:v>0</x:v>
      </x:c>
      <x:c r="BB7" s="26" t="n">
        <x:f t="shared" si="14">AY7-BA7</x:f>
        <x:v>10</x:v>
      </x:c>
      <x:c r="BC7" s="26"/>
      <x:c r="BD7" s="26" t="n">
        <x:v>0</x:v>
      </x:c>
      <x:c r="BE7" s="26" t="n">
        <x:f t="shared" si="15">BB7-BD7</x:f>
        <x:v>10</x:v>
      </x:c>
      <x:c r="BF7" s="26"/>
      <x:c r="BG7" s="26" t="n">
        <x:v>0</x:v>
      </x:c>
      <x:c r="BH7" s="26" t="n">
        <x:f t="shared" si="16">BE7-BG7</x:f>
        <x:v>10</x:v>
      </x:c>
      <x:c r="BI7" s="26"/>
      <x:c r="BJ7" s="26" t="n">
        <x:v>0</x:v>
      </x:c>
      <x:c r="BK7" s="26" t="n">
        <x:f t="shared" si="17">BH7-BJ7</x:f>
        <x:v>10</x:v>
      </x:c>
      <x:c r="BL7" s="26"/>
      <x:c r="BM7" s="26" t="n">
        <x:v>0</x:v>
      </x:c>
      <x:c r="BN7" s="26" t="n">
        <x:f t="shared" ref="BN7:BN17" si="19">BK7-BM7</x:f>
        <x:v>10</x:v>
      </x:c>
      <x:c r="BO7" s="26"/>
      <x:c r="BP7" s="12" t="n">
        <x:f t="shared" ref="BP7:BP17" si="20">SUM(H7,K7,N7,Q7,T7,W7,Z7,AC7,AF7,AI7,AL7,AO7,AR7,AU7,AX7,BA7,BD7,BG7,BJ7,BM7)</x:f>
        <x:v>0</x:v>
      </x:c>
      <x:c r="BQ7" s="12" t="n">
        <x:f t="shared" ref="BQ7:BQ17" si="21">G7-BP7</x:f>
        <x:v>10</x:v>
      </x:c>
    </x:row>
    <x:row r="8" ht="38" customHeight="1">
      <x:c r="B8" s="16"/>
      <x:c r="C8" s="16"/>
      <x:c r="D8" s="16" t="str">
        <x:v>Construir vistas de acceso y cierre de sesión</x:v>
      </x:c>
      <x:c r="E8" s="16" t="str">
        <x:v>Benjamin Pérez</x:v>
      </x:c>
      <x:c r="F8" s="16" t="str">
        <x:v>Por iniciar</x:v>
      </x:c>
      <x:c r="G8" s="16" t="n">
        <x:v>8</x:v>
      </x:c>
      <x:c r="H8" s="9" t="n">
        <x:v>0</x:v>
      </x:c>
      <x:c r="I8" s="9" t="n">
        <x:f t="shared" si="18">G8-H8</x:f>
        <x:v>8</x:v>
      </x:c>
      <x:c r="J8" s="11"/>
      <x:c r="K8" s="9" t="n">
        <x:v>0</x:v>
      </x:c>
      <x:c r="L8" s="9" t="n">
        <x:f t="shared" si="0">I8-K8</x:f>
        <x:v>8</x:v>
      </x:c>
      <x:c r="M8" s="11"/>
      <x:c r="N8" s="9" t="n">
        <x:v>0</x:v>
      </x:c>
      <x:c r="O8" s="9" t="n">
        <x:f t="shared" si="1">L8-N8</x:f>
        <x:v>8</x:v>
      </x:c>
      <x:c r="P8" s="11"/>
      <x:c r="Q8" s="9" t="n">
        <x:v>0</x:v>
      </x:c>
      <x:c r="R8" s="9" t="n">
        <x:f t="shared" si="2">O8-Q8</x:f>
        <x:v>8</x:v>
      </x:c>
      <x:c r="S8" s="11"/>
      <x:c r="T8" s="9" t="n">
        <x:v>0</x:v>
      </x:c>
      <x:c r="U8" s="9" t="n">
        <x:f t="shared" si="3">R8-T8</x:f>
        <x:v>8</x:v>
      </x:c>
      <x:c r="V8" s="11"/>
      <x:c r="W8" s="9" t="n">
        <x:v>0</x:v>
      </x:c>
      <x:c r="X8" s="9" t="n">
        <x:f t="shared" si="4">U8-W8</x:f>
        <x:v>8</x:v>
      </x:c>
      <x:c r="Y8" s="11"/>
      <x:c r="Z8" s="9" t="n">
        <x:v>0</x:v>
      </x:c>
      <x:c r="AA8" s="9" t="n">
        <x:f t="shared" si="5">X8-Z8</x:f>
        <x:v>8</x:v>
      </x:c>
      <x:c r="AB8" s="11"/>
      <x:c r="AC8" s="9" t="n">
        <x:v>0</x:v>
      </x:c>
      <x:c r="AD8" s="9" t="n">
        <x:f t="shared" si="6">AA8-AC8</x:f>
        <x:v>8</x:v>
      </x:c>
      <x:c r="AE8" s="11"/>
      <x:c r="AF8" s="9" t="n">
        <x:v>0</x:v>
      </x:c>
      <x:c r="AG8" s="9" t="n">
        <x:f t="shared" si="7">AD8-AF8</x:f>
        <x:v>8</x:v>
      </x:c>
      <x:c r="AH8" s="11"/>
      <x:c r="AI8" s="9" t="n">
        <x:v>0</x:v>
      </x:c>
      <x:c r="AJ8" s="9" t="n">
        <x:f t="shared" si="8">AG8-AI8</x:f>
        <x:v>8</x:v>
      </x:c>
      <x:c r="AK8" s="11"/>
      <x:c r="AL8" s="26" t="n">
        <x:v>0</x:v>
      </x:c>
      <x:c r="AM8" s="26" t="n">
        <x:f t="shared" si="9">AJ8-AL8</x:f>
        <x:v>8</x:v>
      </x:c>
      <x:c r="AN8" s="26"/>
      <x:c r="AO8" s="26" t="n">
        <x:v>0</x:v>
      </x:c>
      <x:c r="AP8" s="26" t="n">
        <x:f t="shared" si="10">AM8-AO8</x:f>
        <x:v>8</x:v>
      </x:c>
      <x:c r="AQ8" s="26"/>
      <x:c r="AR8" s="26" t="n">
        <x:v>0</x:v>
      </x:c>
      <x:c r="AS8" s="26" t="n">
        <x:f t="shared" si="11">AP8-AR8</x:f>
        <x:v>8</x:v>
      </x:c>
      <x:c r="AT8" s="26"/>
      <x:c r="AU8" s="26" t="n">
        <x:v>0</x:v>
      </x:c>
      <x:c r="AV8" s="26" t="n">
        <x:f t="shared" si="12">AS8-AU8</x:f>
        <x:v>8</x:v>
      </x:c>
      <x:c r="AW8" s="26"/>
      <x:c r="AX8" s="26" t="n">
        <x:v>0</x:v>
      </x:c>
      <x:c r="AY8" s="26" t="n">
        <x:f t="shared" si="13">AV8-AX8</x:f>
        <x:v>8</x:v>
      </x:c>
      <x:c r="AZ8" s="26"/>
      <x:c r="BA8" s="26" t="n">
        <x:v>0</x:v>
      </x:c>
      <x:c r="BB8" s="26" t="n">
        <x:f t="shared" si="14">AY8-BA8</x:f>
        <x:v>8</x:v>
      </x:c>
      <x:c r="BC8" s="26"/>
      <x:c r="BD8" s="26" t="n">
        <x:v>0</x:v>
      </x:c>
      <x:c r="BE8" s="26" t="n">
        <x:f t="shared" si="15">BB8-BD8</x:f>
        <x:v>8</x:v>
      </x:c>
      <x:c r="BF8" s="26"/>
      <x:c r="BG8" s="26" t="n">
        <x:v>0</x:v>
      </x:c>
      <x:c r="BH8" s="26" t="n">
        <x:f t="shared" si="16">BE8-BG8</x:f>
        <x:v>8</x:v>
      </x:c>
      <x:c r="BI8" s="26"/>
      <x:c r="BJ8" s="26" t="n">
        <x:v>0</x:v>
      </x:c>
      <x:c r="BK8" s="26" t="n">
        <x:f t="shared" si="17">BH8-BJ8</x:f>
        <x:v>8</x:v>
      </x:c>
      <x:c r="BL8" s="26"/>
      <x:c r="BM8" s="26" t="n">
        <x:v>0</x:v>
      </x:c>
      <x:c r="BN8" s="26" t="n">
        <x:f t="shared" si="19">BK8-BM8</x:f>
        <x:v>8</x:v>
      </x:c>
      <x:c r="BO8" s="26"/>
      <x:c r="BP8" s="12" t="n">
        <x:f t="shared" si="20">SUM(H8,K8,N8,Q8,T8,W8,Z8,AC8,AF8,AI8,AL8,AO8,AR8,AU8,AX8,BA8,BD8,BG8,BJ8,BM8)</x:f>
        <x:v>0</x:v>
      </x:c>
      <x:c r="BQ8" s="12" t="n">
        <x:f t="shared" si="21">G8-BP8</x:f>
        <x:v>8</x:v>
      </x:c>
    </x:row>
    <x:row r="9" ht="38" customHeight="1">
      <x:c r="B9" s="16"/>
      <x:c r="C9" s="16"/>
      <x:c r="D9" s="16" t="str">
        <x:v>Probar credenciales, roles y acceso no autorizado</x:v>
      </x:c>
      <x:c r="E9" s="16" t="str">
        <x:v>Abraham Retamal</x:v>
      </x:c>
      <x:c r="F9" s="16" t="str">
        <x:v>Por iniciar</x:v>
      </x:c>
      <x:c r="G9" s="16" t="n">
        <x:v>6</x:v>
      </x:c>
      <x:c r="H9" s="9" t="n">
        <x:v>0</x:v>
      </x:c>
      <x:c r="I9" s="9" t="n">
        <x:f t="shared" si="18">G9-H9</x:f>
        <x:v>6</x:v>
      </x:c>
      <x:c r="J9" s="11"/>
      <x:c r="K9" s="9" t="n">
        <x:v>0</x:v>
      </x:c>
      <x:c r="L9" s="9" t="n">
        <x:f t="shared" si="0">I9-K9</x:f>
        <x:v>6</x:v>
      </x:c>
      <x:c r="M9" s="11"/>
      <x:c r="N9" s="9" t="n">
        <x:v>0</x:v>
      </x:c>
      <x:c r="O9" s="9" t="n">
        <x:f t="shared" si="1">L9-N9</x:f>
        <x:v>6</x:v>
      </x:c>
      <x:c r="P9" s="11"/>
      <x:c r="Q9" s="9" t="n">
        <x:v>0</x:v>
      </x:c>
      <x:c r="R9" s="9" t="n">
        <x:f t="shared" si="2">O9-Q9</x:f>
        <x:v>6</x:v>
      </x:c>
      <x:c r="S9" s="11"/>
      <x:c r="T9" s="9" t="n">
        <x:v>0</x:v>
      </x:c>
      <x:c r="U9" s="9" t="n">
        <x:f t="shared" si="3">R9-T9</x:f>
        <x:v>6</x:v>
      </x:c>
      <x:c r="V9" s="11"/>
      <x:c r="W9" s="9" t="n">
        <x:v>0</x:v>
      </x:c>
      <x:c r="X9" s="9" t="n">
        <x:f t="shared" si="4">U9-W9</x:f>
        <x:v>6</x:v>
      </x:c>
      <x:c r="Y9" s="11"/>
      <x:c r="Z9" s="9" t="n">
        <x:v>0</x:v>
      </x:c>
      <x:c r="AA9" s="9" t="n">
        <x:f t="shared" si="5">X9-Z9</x:f>
        <x:v>6</x:v>
      </x:c>
      <x:c r="AB9" s="11"/>
      <x:c r="AC9" s="9" t="n">
        <x:v>0</x:v>
      </x:c>
      <x:c r="AD9" s="9" t="n">
        <x:f t="shared" si="6">AA9-AC9</x:f>
        <x:v>6</x:v>
      </x:c>
      <x:c r="AE9" s="11"/>
      <x:c r="AF9" s="9" t="n">
        <x:v>0</x:v>
      </x:c>
      <x:c r="AG9" s="9" t="n">
        <x:f t="shared" si="7">AD9-AF9</x:f>
        <x:v>6</x:v>
      </x:c>
      <x:c r="AH9" s="11"/>
      <x:c r="AI9" s="9" t="n">
        <x:v>0</x:v>
      </x:c>
      <x:c r="AJ9" s="9" t="n">
        <x:f t="shared" si="8">AG9-AI9</x:f>
        <x:v>6</x:v>
      </x:c>
      <x:c r="AK9" s="11"/>
      <x:c r="AL9" s="26" t="n">
        <x:v>0</x:v>
      </x:c>
      <x:c r="AM9" s="26" t="n">
        <x:f t="shared" si="9">AJ9-AL9</x:f>
        <x:v>6</x:v>
      </x:c>
      <x:c r="AN9" s="26"/>
      <x:c r="AO9" s="26" t="n">
        <x:v>0</x:v>
      </x:c>
      <x:c r="AP9" s="26" t="n">
        <x:f t="shared" si="10">AM9-AO9</x:f>
        <x:v>6</x:v>
      </x:c>
      <x:c r="AQ9" s="26"/>
      <x:c r="AR9" s="26" t="n">
        <x:v>0</x:v>
      </x:c>
      <x:c r="AS9" s="26" t="n">
        <x:f t="shared" si="11">AP9-AR9</x:f>
        <x:v>6</x:v>
      </x:c>
      <x:c r="AT9" s="26"/>
      <x:c r="AU9" s="26" t="n">
        <x:v>0</x:v>
      </x:c>
      <x:c r="AV9" s="26" t="n">
        <x:f t="shared" si="12">AS9-AU9</x:f>
        <x:v>6</x:v>
      </x:c>
      <x:c r="AW9" s="26"/>
      <x:c r="AX9" s="26" t="n">
        <x:v>0</x:v>
      </x:c>
      <x:c r="AY9" s="26" t="n">
        <x:f t="shared" si="13">AV9-AX9</x:f>
        <x:v>6</x:v>
      </x:c>
      <x:c r="AZ9" s="26"/>
      <x:c r="BA9" s="26" t="n">
        <x:v>0</x:v>
      </x:c>
      <x:c r="BB9" s="26" t="n">
        <x:f t="shared" si="14">AY9-BA9</x:f>
        <x:v>6</x:v>
      </x:c>
      <x:c r="BC9" s="26"/>
      <x:c r="BD9" s="26" t="n">
        <x:v>0</x:v>
      </x:c>
      <x:c r="BE9" s="26" t="n">
        <x:f t="shared" si="15">BB9-BD9</x:f>
        <x:v>6</x:v>
      </x:c>
      <x:c r="BF9" s="26"/>
      <x:c r="BG9" s="26" t="n">
        <x:v>0</x:v>
      </x:c>
      <x:c r="BH9" s="26" t="n">
        <x:f t="shared" si="16">BE9-BG9</x:f>
        <x:v>6</x:v>
      </x:c>
      <x:c r="BI9" s="26"/>
      <x:c r="BJ9" s="26" t="n">
        <x:v>0</x:v>
      </x:c>
      <x:c r="BK9" s="26" t="n">
        <x:f t="shared" si="17">BH9-BJ9</x:f>
        <x:v>6</x:v>
      </x:c>
      <x:c r="BL9" s="26"/>
      <x:c r="BM9" s="26" t="n">
        <x:v>0</x:v>
      </x:c>
      <x:c r="BN9" s="26" t="n">
        <x:f t="shared" si="19">BK9-BM9</x:f>
        <x:v>6</x:v>
      </x:c>
      <x:c r="BO9" s="26"/>
      <x:c r="BP9" s="12" t="n">
        <x:f t="shared" si="20">SUM(H9,K9,N9,Q9,T9,W9,Z9,AC9,AF9,AI9,AL9,AO9,AR9,AU9,AX9,BA9,BD9,BG9,BJ9,BM9)</x:f>
        <x:v>0</x:v>
      </x:c>
      <x:c r="BQ9" s="12" t="n">
        <x:f t="shared" si="21">G9-BP9</x:f>
        <x:v>6</x:v>
      </x:c>
    </x:row>
    <x:row r="10" ht="38" customHeight="1">
      <x:c r="B10" s="16" t="str">
        <x:v>ALZ-HU-002</x:v>
      </x:c>
      <x:c r="C10" s="16" t="str">
        <x:v>Como profesor, necesito crear y configurar una clase, con la finalidad de organizar estudiantes, actividades y material del curso.</x:v>
      </x:c>
      <x:c r="D10" s="16" t="str">
        <x:v>Modelar clase, membresías y permisos</x:v>
      </x:c>
      <x:c r="E10" s="16" t="str">
        <x:v>Marcelo Núñez</x:v>
      </x:c>
      <x:c r="F10" s="16" t="str">
        <x:v>Por iniciar</x:v>
      </x:c>
      <x:c r="G10" s="16" t="n">
        <x:v>6</x:v>
      </x:c>
      <x:c r="H10" s="9" t="n">
        <x:v>0</x:v>
      </x:c>
      <x:c r="I10" s="9" t="n">
        <x:f t="shared" si="18">G10-H10</x:f>
        <x:v>6</x:v>
      </x:c>
      <x:c r="J10" s="11"/>
      <x:c r="K10" s="9" t="n">
        <x:v>0</x:v>
      </x:c>
      <x:c r="L10" s="9" t="n">
        <x:f t="shared" si="0">I10-K10</x:f>
        <x:v>6</x:v>
      </x:c>
      <x:c r="M10" s="11"/>
      <x:c r="N10" s="9" t="n">
        <x:v>0</x:v>
      </x:c>
      <x:c r="O10" s="9" t="n">
        <x:f t="shared" si="1">L10-N10</x:f>
        <x:v>6</x:v>
      </x:c>
      <x:c r="P10" s="11"/>
      <x:c r="Q10" s="9" t="n">
        <x:v>0</x:v>
      </x:c>
      <x:c r="R10" s="9" t="n">
        <x:f t="shared" si="2">O10-Q10</x:f>
        <x:v>6</x:v>
      </x:c>
      <x:c r="S10" s="11"/>
      <x:c r="T10" s="9" t="n">
        <x:v>0</x:v>
      </x:c>
      <x:c r="U10" s="9" t="n">
        <x:f t="shared" si="3">R10-T10</x:f>
        <x:v>6</x:v>
      </x:c>
      <x:c r="V10" s="11"/>
      <x:c r="W10" s="9" t="n">
        <x:v>0</x:v>
      </x:c>
      <x:c r="X10" s="9" t="n">
        <x:f t="shared" si="4">U10-W10</x:f>
        <x:v>6</x:v>
      </x:c>
      <x:c r="Y10" s="11"/>
      <x:c r="Z10" s="9" t="n">
        <x:v>0</x:v>
      </x:c>
      <x:c r="AA10" s="9" t="n">
        <x:f t="shared" si="5">X10-Z10</x:f>
        <x:v>6</x:v>
      </x:c>
      <x:c r="AB10" s="11"/>
      <x:c r="AC10" s="9" t="n">
        <x:v>0</x:v>
      </x:c>
      <x:c r="AD10" s="9" t="n">
        <x:f t="shared" si="6">AA10-AC10</x:f>
        <x:v>6</x:v>
      </x:c>
      <x:c r="AE10" s="11"/>
      <x:c r="AF10" s="9" t="n">
        <x:v>0</x:v>
      </x:c>
      <x:c r="AG10" s="9" t="n">
        <x:f t="shared" si="7">AD10-AF10</x:f>
        <x:v>6</x:v>
      </x:c>
      <x:c r="AH10" s="11"/>
      <x:c r="AI10" s="9" t="n">
        <x:v>0</x:v>
      </x:c>
      <x:c r="AJ10" s="9" t="n">
        <x:f t="shared" si="8">AG10-AI10</x:f>
        <x:v>6</x:v>
      </x:c>
      <x:c r="AK10" s="11"/>
      <x:c r="AL10" s="26" t="n">
        <x:v>0</x:v>
      </x:c>
      <x:c r="AM10" s="26" t="n">
        <x:f t="shared" si="9">AJ10-AL10</x:f>
        <x:v>6</x:v>
      </x:c>
      <x:c r="AN10" s="26"/>
      <x:c r="AO10" s="26" t="n">
        <x:v>0</x:v>
      </x:c>
      <x:c r="AP10" s="26" t="n">
        <x:f t="shared" si="10">AM10-AO10</x:f>
        <x:v>6</x:v>
      </x:c>
      <x:c r="AQ10" s="26"/>
      <x:c r="AR10" s="26" t="n">
        <x:v>0</x:v>
      </x:c>
      <x:c r="AS10" s="26" t="n">
        <x:f t="shared" si="11">AP10-AR10</x:f>
        <x:v>6</x:v>
      </x:c>
      <x:c r="AT10" s="26"/>
      <x:c r="AU10" s="26" t="n">
        <x:v>0</x:v>
      </x:c>
      <x:c r="AV10" s="26" t="n">
        <x:f t="shared" si="12">AS10-AU10</x:f>
        <x:v>6</x:v>
      </x:c>
      <x:c r="AW10" s="26"/>
      <x:c r="AX10" s="26" t="n">
        <x:v>0</x:v>
      </x:c>
      <x:c r="AY10" s="26" t="n">
        <x:f t="shared" si="13">AV10-AX10</x:f>
        <x:v>6</x:v>
      </x:c>
      <x:c r="AZ10" s="26"/>
      <x:c r="BA10" s="26" t="n">
        <x:v>0</x:v>
      </x:c>
      <x:c r="BB10" s="26" t="n">
        <x:f t="shared" si="14">AY10-BA10</x:f>
        <x:v>6</x:v>
      </x:c>
      <x:c r="BC10" s="26"/>
      <x:c r="BD10" s="26" t="n">
        <x:v>0</x:v>
      </x:c>
      <x:c r="BE10" s="26" t="n">
        <x:f t="shared" si="15">BB10-BD10</x:f>
        <x:v>6</x:v>
      </x:c>
      <x:c r="BF10" s="26"/>
      <x:c r="BG10" s="26" t="n">
        <x:v>0</x:v>
      </x:c>
      <x:c r="BH10" s="26" t="n">
        <x:f t="shared" si="16">BE10-BG10</x:f>
        <x:v>6</x:v>
      </x:c>
      <x:c r="BI10" s="26"/>
      <x:c r="BJ10" s="26" t="n">
        <x:v>0</x:v>
      </x:c>
      <x:c r="BK10" s="26" t="n">
        <x:f t="shared" si="17">BH10-BJ10</x:f>
        <x:v>6</x:v>
      </x:c>
      <x:c r="BL10" s="26"/>
      <x:c r="BM10" s="26" t="n">
        <x:v>0</x:v>
      </x:c>
      <x:c r="BN10" s="26" t="n">
        <x:f t="shared" si="19">BK10-BM10</x:f>
        <x:v>6</x:v>
      </x:c>
      <x:c r="BO10" s="26"/>
      <x:c r="BP10" s="12" t="n">
        <x:f t="shared" si="20">SUM(H10,K10,N10,Q10,T10,W10,Z10,AC10,AF10,AI10,AL10,AO10,AR10,AU10,AX10,BA10,BD10,BG10,BJ10,BM10)</x:f>
        <x:v>0</x:v>
      </x:c>
      <x:c r="BQ10" s="12" t="n">
        <x:f t="shared" si="21">G10-BP10</x:f>
        <x:v>6</x:v>
      </x:c>
    </x:row>
    <x:row r="11" ht="38" customHeight="1">
      <x:c r="B11" s="16"/>
      <x:c r="C11" s="16"/>
      <x:c r="D11" s="16" t="str">
        <x:v>Implementar API para crear y configurar clase</x:v>
      </x:c>
      <x:c r="E11" s="16" t="str">
        <x:v>Marcelo Núñez</x:v>
      </x:c>
      <x:c r="F11" s="16" t="str">
        <x:v>Por iniciar</x:v>
      </x:c>
      <x:c r="G11" s="16" t="n">
        <x:v>10</x:v>
      </x:c>
      <x:c r="H11" s="9" t="n">
        <x:v>0</x:v>
      </x:c>
      <x:c r="I11" s="9" t="n">
        <x:f t="shared" si="18">G11-H11</x:f>
        <x:v>10</x:v>
      </x:c>
      <x:c r="J11" s="11"/>
      <x:c r="K11" s="9" t="n">
        <x:v>0</x:v>
      </x:c>
      <x:c r="L11" s="9" t="n">
        <x:f t="shared" si="0">I11-K11</x:f>
        <x:v>10</x:v>
      </x:c>
      <x:c r="M11" s="11"/>
      <x:c r="N11" s="9" t="n">
        <x:v>0</x:v>
      </x:c>
      <x:c r="O11" s="9" t="n">
        <x:f t="shared" si="1">L11-N11</x:f>
        <x:v>10</x:v>
      </x:c>
      <x:c r="P11" s="11"/>
      <x:c r="Q11" s="9" t="n">
        <x:v>0</x:v>
      </x:c>
      <x:c r="R11" s="9" t="n">
        <x:f t="shared" si="2">O11-Q11</x:f>
        <x:v>10</x:v>
      </x:c>
      <x:c r="S11" s="11"/>
      <x:c r="T11" s="9" t="n">
        <x:v>0</x:v>
      </x:c>
      <x:c r="U11" s="9" t="n">
        <x:f t="shared" si="3">R11-T11</x:f>
        <x:v>10</x:v>
      </x:c>
      <x:c r="V11" s="11"/>
      <x:c r="W11" s="9" t="n">
        <x:v>0</x:v>
      </x:c>
      <x:c r="X11" s="9" t="n">
        <x:f t="shared" si="4">U11-W11</x:f>
        <x:v>10</x:v>
      </x:c>
      <x:c r="Y11" s="11"/>
      <x:c r="Z11" s="9" t="n">
        <x:v>0</x:v>
      </x:c>
      <x:c r="AA11" s="9" t="n">
        <x:f t="shared" si="5">X11-Z11</x:f>
        <x:v>10</x:v>
      </x:c>
      <x:c r="AB11" s="11"/>
      <x:c r="AC11" s="9" t="n">
        <x:v>0</x:v>
      </x:c>
      <x:c r="AD11" s="9" t="n">
        <x:f t="shared" si="6">AA11-AC11</x:f>
        <x:v>10</x:v>
      </x:c>
      <x:c r="AE11" s="11"/>
      <x:c r="AF11" s="9" t="n">
        <x:v>0</x:v>
      </x:c>
      <x:c r="AG11" s="9" t="n">
        <x:f t="shared" si="7">AD11-AF11</x:f>
        <x:v>10</x:v>
      </x:c>
      <x:c r="AH11" s="11"/>
      <x:c r="AI11" s="9" t="n">
        <x:v>0</x:v>
      </x:c>
      <x:c r="AJ11" s="9" t="n">
        <x:f t="shared" si="8">AG11-AI11</x:f>
        <x:v>10</x:v>
      </x:c>
      <x:c r="AK11" s="11"/>
      <x:c r="AL11" s="26" t="n">
        <x:v>0</x:v>
      </x:c>
      <x:c r="AM11" s="26" t="n">
        <x:f t="shared" si="9">AJ11-AL11</x:f>
        <x:v>10</x:v>
      </x:c>
      <x:c r="AN11" s="26"/>
      <x:c r="AO11" s="26" t="n">
        <x:v>0</x:v>
      </x:c>
      <x:c r="AP11" s="26" t="n">
        <x:f t="shared" si="10">AM11-AO11</x:f>
        <x:v>10</x:v>
      </x:c>
      <x:c r="AQ11" s="26"/>
      <x:c r="AR11" s="26" t="n">
        <x:v>0</x:v>
      </x:c>
      <x:c r="AS11" s="26" t="n">
        <x:f t="shared" si="11">AP11-AR11</x:f>
        <x:v>10</x:v>
      </x:c>
      <x:c r="AT11" s="26"/>
      <x:c r="AU11" s="26" t="n">
        <x:v>0</x:v>
      </x:c>
      <x:c r="AV11" s="26" t="n">
        <x:f t="shared" si="12">AS11-AU11</x:f>
        <x:v>10</x:v>
      </x:c>
      <x:c r="AW11" s="26"/>
      <x:c r="AX11" s="26" t="n">
        <x:v>0</x:v>
      </x:c>
      <x:c r="AY11" s="26" t="n">
        <x:f t="shared" si="13">AV11-AX11</x:f>
        <x:v>10</x:v>
      </x:c>
      <x:c r="AZ11" s="26"/>
      <x:c r="BA11" s="26" t="n">
        <x:v>0</x:v>
      </x:c>
      <x:c r="BB11" s="26" t="n">
        <x:f t="shared" si="14">AY11-BA11</x:f>
        <x:v>10</x:v>
      </x:c>
      <x:c r="BC11" s="26"/>
      <x:c r="BD11" s="26" t="n">
        <x:v>0</x:v>
      </x:c>
      <x:c r="BE11" s="26" t="n">
        <x:f t="shared" si="15">BB11-BD11</x:f>
        <x:v>10</x:v>
      </x:c>
      <x:c r="BF11" s="26"/>
      <x:c r="BG11" s="26" t="n">
        <x:v>0</x:v>
      </x:c>
      <x:c r="BH11" s="26" t="n">
        <x:f t="shared" si="16">BE11-BG11</x:f>
        <x:v>10</x:v>
      </x:c>
      <x:c r="BI11" s="26"/>
      <x:c r="BJ11" s="26" t="n">
        <x:v>0</x:v>
      </x:c>
      <x:c r="BK11" s="26" t="n">
        <x:f t="shared" si="17">BH11-BJ11</x:f>
        <x:v>10</x:v>
      </x:c>
      <x:c r="BL11" s="26"/>
      <x:c r="BM11" s="26" t="n">
        <x:v>0</x:v>
      </x:c>
      <x:c r="BN11" s="26" t="n">
        <x:f t="shared" si="19">BK11-BM11</x:f>
        <x:v>10</x:v>
      </x:c>
      <x:c r="BO11" s="26"/>
      <x:c r="BP11" s="12" t="n">
        <x:f t="shared" si="20">SUM(H11,K11,N11,Q11,T11,W11,Z11,AC11,AF11,AI11,AL11,AO11,AR11,AU11,AX11,BA11,BD11,BG11,BJ11,BM11)</x:f>
        <x:v>0</x:v>
      </x:c>
      <x:c r="BQ11" s="12" t="n">
        <x:f t="shared" si="21">G11-BP11</x:f>
        <x:v>10</x:v>
      </x:c>
    </x:row>
    <x:row r="12" ht="38" customHeight="1">
      <x:c r="B12" s="16"/>
      <x:c r="C12" s="16"/>
      <x:c r="D12" s="16" t="str">
        <x:v>Construir interfaz de gestión de clase</x:v>
      </x:c>
      <x:c r="E12" s="16" t="str">
        <x:v>Benjamin Pérez</x:v>
      </x:c>
      <x:c r="F12" s="16" t="str">
        <x:v>Por iniciar</x:v>
      </x:c>
      <x:c r="G12" s="16" t="n">
        <x:v>8</x:v>
      </x:c>
      <x:c r="H12" s="9" t="n">
        <x:v>0</x:v>
      </x:c>
      <x:c r="I12" s="9" t="n">
        <x:f t="shared" si="18">G12-H12</x:f>
        <x:v>8</x:v>
      </x:c>
      <x:c r="J12" s="11"/>
      <x:c r="K12" s="9" t="n">
        <x:v>0</x:v>
      </x:c>
      <x:c r="L12" s="9" t="n">
        <x:f t="shared" si="0">I12-K12</x:f>
        <x:v>8</x:v>
      </x:c>
      <x:c r="M12" s="11"/>
      <x:c r="N12" s="9" t="n">
        <x:v>0</x:v>
      </x:c>
      <x:c r="O12" s="9" t="n">
        <x:f t="shared" si="1">L12-N12</x:f>
        <x:v>8</x:v>
      </x:c>
      <x:c r="P12" s="11"/>
      <x:c r="Q12" s="9" t="n">
        <x:v>0</x:v>
      </x:c>
      <x:c r="R12" s="9" t="n">
        <x:f t="shared" si="2">O12-Q12</x:f>
        <x:v>8</x:v>
      </x:c>
      <x:c r="S12" s="11"/>
      <x:c r="T12" s="9" t="n">
        <x:v>0</x:v>
      </x:c>
      <x:c r="U12" s="9" t="n">
        <x:f t="shared" si="3">R12-T12</x:f>
        <x:v>8</x:v>
      </x:c>
      <x:c r="V12" s="11"/>
      <x:c r="W12" s="9" t="n">
        <x:v>0</x:v>
      </x:c>
      <x:c r="X12" s="9" t="n">
        <x:f t="shared" si="4">U12-W12</x:f>
        <x:v>8</x:v>
      </x:c>
      <x:c r="Y12" s="11"/>
      <x:c r="Z12" s="9" t="n">
        <x:v>0</x:v>
      </x:c>
      <x:c r="AA12" s="9" t="n">
        <x:f t="shared" si="5">X12-Z12</x:f>
        <x:v>8</x:v>
      </x:c>
      <x:c r="AB12" s="11"/>
      <x:c r="AC12" s="9" t="n">
        <x:v>0</x:v>
      </x:c>
      <x:c r="AD12" s="9" t="n">
        <x:f t="shared" si="6">AA12-AC12</x:f>
        <x:v>8</x:v>
      </x:c>
      <x:c r="AE12" s="11"/>
      <x:c r="AF12" s="9" t="n">
        <x:v>0</x:v>
      </x:c>
      <x:c r="AG12" s="9" t="n">
        <x:f t="shared" si="7">AD12-AF12</x:f>
        <x:v>8</x:v>
      </x:c>
      <x:c r="AH12" s="11"/>
      <x:c r="AI12" s="9" t="n">
        <x:v>0</x:v>
      </x:c>
      <x:c r="AJ12" s="9" t="n">
        <x:f t="shared" si="8">AG12-AI12</x:f>
        <x:v>8</x:v>
      </x:c>
      <x:c r="AK12" s="11"/>
      <x:c r="AL12" s="26" t="n">
        <x:v>0</x:v>
      </x:c>
      <x:c r="AM12" s="26" t="n">
        <x:f t="shared" si="9">AJ12-AL12</x:f>
        <x:v>8</x:v>
      </x:c>
      <x:c r="AN12" s="26"/>
      <x:c r="AO12" s="26" t="n">
        <x:v>0</x:v>
      </x:c>
      <x:c r="AP12" s="26" t="n">
        <x:f t="shared" si="10">AM12-AO12</x:f>
        <x:v>8</x:v>
      </x:c>
      <x:c r="AQ12" s="26"/>
      <x:c r="AR12" s="26" t="n">
        <x:v>0</x:v>
      </x:c>
      <x:c r="AS12" s="26" t="n">
        <x:f t="shared" si="11">AP12-AR12</x:f>
        <x:v>8</x:v>
      </x:c>
      <x:c r="AT12" s="26"/>
      <x:c r="AU12" s="26" t="n">
        <x:v>0</x:v>
      </x:c>
      <x:c r="AV12" s="26" t="n">
        <x:f t="shared" si="12">AS12-AU12</x:f>
        <x:v>8</x:v>
      </x:c>
      <x:c r="AW12" s="26"/>
      <x:c r="AX12" s="26" t="n">
        <x:v>0</x:v>
      </x:c>
      <x:c r="AY12" s="26" t="n">
        <x:f t="shared" si="13">AV12-AX12</x:f>
        <x:v>8</x:v>
      </x:c>
      <x:c r="AZ12" s="26"/>
      <x:c r="BA12" s="26" t="n">
        <x:v>0</x:v>
      </x:c>
      <x:c r="BB12" s="26" t="n">
        <x:f t="shared" si="14">AY12-BA12</x:f>
        <x:v>8</x:v>
      </x:c>
      <x:c r="BC12" s="26"/>
      <x:c r="BD12" s="26" t="n">
        <x:v>0</x:v>
      </x:c>
      <x:c r="BE12" s="26" t="n">
        <x:f t="shared" si="15">BB12-BD12</x:f>
        <x:v>8</x:v>
      </x:c>
      <x:c r="BF12" s="26"/>
      <x:c r="BG12" s="26" t="n">
        <x:v>0</x:v>
      </x:c>
      <x:c r="BH12" s="26" t="n">
        <x:f t="shared" si="16">BE12-BG12</x:f>
        <x:v>8</x:v>
      </x:c>
      <x:c r="BI12" s="26"/>
      <x:c r="BJ12" s="26" t="n">
        <x:v>0</x:v>
      </x:c>
      <x:c r="BK12" s="26" t="n">
        <x:f t="shared" si="17">BH12-BJ12</x:f>
        <x:v>8</x:v>
      </x:c>
      <x:c r="BL12" s="26"/>
      <x:c r="BM12" s="26" t="n">
        <x:v>0</x:v>
      </x:c>
      <x:c r="BN12" s="26" t="n">
        <x:f t="shared" si="19">BK12-BM12</x:f>
        <x:v>8</x:v>
      </x:c>
      <x:c r="BO12" s="26"/>
      <x:c r="BP12" s="12" t="n">
        <x:f t="shared" si="20">SUM(H12,K12,N12,Q12,T12,W12,Z12,AC12,AF12,AI12,AL12,AO12,AR12,AU12,AX12,BA12,BD12,BG12,BJ12,BM12)</x:f>
        <x:v>0</x:v>
      </x:c>
      <x:c r="BQ12" s="12" t="n">
        <x:f t="shared" si="21">G12-BP12</x:f>
        <x:v>8</x:v>
      </x:c>
    </x:row>
    <x:row r="13" ht="38" customHeight="1">
      <x:c r="B13" s="16"/>
      <x:c r="C13" s="16"/>
      <x:c r="D13" s="16" t="str">
        <x:v>Probar validaciones y autorización por rol</x:v>
      </x:c>
      <x:c r="E13" s="16" t="str">
        <x:v>Abraham Retamal</x:v>
      </x:c>
      <x:c r="F13" s="16" t="str">
        <x:v>Por iniciar</x:v>
      </x:c>
      <x:c r="G13" s="16" t="n">
        <x:v>6</x:v>
      </x:c>
      <x:c r="H13" s="9" t="n">
        <x:v>0</x:v>
      </x:c>
      <x:c r="I13" s="9" t="n">
        <x:f t="shared" si="18">G13-H13</x:f>
        <x:v>6</x:v>
      </x:c>
      <x:c r="J13" s="11"/>
      <x:c r="K13" s="9" t="n">
        <x:v>0</x:v>
      </x:c>
      <x:c r="L13" s="9" t="n">
        <x:f t="shared" si="0">I13-K13</x:f>
        <x:v>6</x:v>
      </x:c>
      <x:c r="M13" s="11"/>
      <x:c r="N13" s="9" t="n">
        <x:v>0</x:v>
      </x:c>
      <x:c r="O13" s="9" t="n">
        <x:f t="shared" si="1">L13-N13</x:f>
        <x:v>6</x:v>
      </x:c>
      <x:c r="P13" s="11"/>
      <x:c r="Q13" s="9" t="n">
        <x:v>0</x:v>
      </x:c>
      <x:c r="R13" s="9" t="n">
        <x:f t="shared" si="2">O13-Q13</x:f>
        <x:v>6</x:v>
      </x:c>
      <x:c r="S13" s="11"/>
      <x:c r="T13" s="9" t="n">
        <x:v>0</x:v>
      </x:c>
      <x:c r="U13" s="9" t="n">
        <x:f t="shared" si="3">R13-T13</x:f>
        <x:v>6</x:v>
      </x:c>
      <x:c r="V13" s="11"/>
      <x:c r="W13" s="9" t="n">
        <x:v>0</x:v>
      </x:c>
      <x:c r="X13" s="9" t="n">
        <x:f t="shared" si="4">U13-W13</x:f>
        <x:v>6</x:v>
      </x:c>
      <x:c r="Y13" s="11"/>
      <x:c r="Z13" s="9" t="n">
        <x:v>0</x:v>
      </x:c>
      <x:c r="AA13" s="9" t="n">
        <x:f t="shared" si="5">X13-Z13</x:f>
        <x:v>6</x:v>
      </x:c>
      <x:c r="AB13" s="11"/>
      <x:c r="AC13" s="9" t="n">
        <x:v>0</x:v>
      </x:c>
      <x:c r="AD13" s="9" t="n">
        <x:f t="shared" si="6">AA13-AC13</x:f>
        <x:v>6</x:v>
      </x:c>
      <x:c r="AE13" s="11"/>
      <x:c r="AF13" s="9" t="n">
        <x:v>0</x:v>
      </x:c>
      <x:c r="AG13" s="9" t="n">
        <x:f t="shared" si="7">AD13-AF13</x:f>
        <x:v>6</x:v>
      </x:c>
      <x:c r="AH13" s="11"/>
      <x:c r="AI13" s="9" t="n">
        <x:v>0</x:v>
      </x:c>
      <x:c r="AJ13" s="9" t="n">
        <x:f t="shared" si="8">AG13-AI13</x:f>
        <x:v>6</x:v>
      </x:c>
      <x:c r="AK13" s="11"/>
      <x:c r="AL13" s="26" t="n">
        <x:v>0</x:v>
      </x:c>
      <x:c r="AM13" s="26" t="n">
        <x:f t="shared" si="9">AJ13-AL13</x:f>
        <x:v>6</x:v>
      </x:c>
      <x:c r="AN13" s="26"/>
      <x:c r="AO13" s="26" t="n">
        <x:v>0</x:v>
      </x:c>
      <x:c r="AP13" s="26" t="n">
        <x:f t="shared" si="10">AM13-AO13</x:f>
        <x:v>6</x:v>
      </x:c>
      <x:c r="AQ13" s="26"/>
      <x:c r="AR13" s="26" t="n">
        <x:v>0</x:v>
      </x:c>
      <x:c r="AS13" s="26" t="n">
        <x:f t="shared" si="11">AP13-AR13</x:f>
        <x:v>6</x:v>
      </x:c>
      <x:c r="AT13" s="26"/>
      <x:c r="AU13" s="26" t="n">
        <x:v>0</x:v>
      </x:c>
      <x:c r="AV13" s="26" t="n">
        <x:f t="shared" si="12">AS13-AU13</x:f>
        <x:v>6</x:v>
      </x:c>
      <x:c r="AW13" s="26"/>
      <x:c r="AX13" s="26" t="n">
        <x:v>0</x:v>
      </x:c>
      <x:c r="AY13" s="26" t="n">
        <x:f t="shared" si="13">AV13-AX13</x:f>
        <x:v>6</x:v>
      </x:c>
      <x:c r="AZ13" s="26"/>
      <x:c r="BA13" s="26" t="n">
        <x:v>0</x:v>
      </x:c>
      <x:c r="BB13" s="26" t="n">
        <x:f t="shared" si="14">AY13-BA13</x:f>
        <x:v>6</x:v>
      </x:c>
      <x:c r="BC13" s="26"/>
      <x:c r="BD13" s="26" t="n">
        <x:v>0</x:v>
      </x:c>
      <x:c r="BE13" s="26" t="n">
        <x:f t="shared" si="15">BB13-BD13</x:f>
        <x:v>6</x:v>
      </x:c>
      <x:c r="BF13" s="26"/>
      <x:c r="BG13" s="26" t="n">
        <x:v>0</x:v>
      </x:c>
      <x:c r="BH13" s="26" t="n">
        <x:f t="shared" si="16">BE13-BG13</x:f>
        <x:v>6</x:v>
      </x:c>
      <x:c r="BI13" s="26"/>
      <x:c r="BJ13" s="26" t="n">
        <x:v>0</x:v>
      </x:c>
      <x:c r="BK13" s="26" t="n">
        <x:f t="shared" si="17">BH13-BJ13</x:f>
        <x:v>6</x:v>
      </x:c>
      <x:c r="BL13" s="26"/>
      <x:c r="BM13" s="26" t="n">
        <x:v>0</x:v>
      </x:c>
      <x:c r="BN13" s="26" t="n">
        <x:f t="shared" si="19">BK13-BM13</x:f>
        <x:v>6</x:v>
      </x:c>
      <x:c r="BO13" s="26"/>
      <x:c r="BP13" s="12" t="n">
        <x:f t="shared" si="20">SUM(H13,K13,N13,Q13,T13,W13,Z13,AC13,AF13,AI13,AL13,AO13,AR13,AU13,AX13,BA13,BD13,BG13,BJ13,BM13)</x:f>
        <x:v>0</x:v>
      </x:c>
      <x:c r="BQ13" s="12" t="n">
        <x:f t="shared" si="21">G13-BP13</x:f>
        <x:v>6</x:v>
      </x:c>
    </x:row>
    <x:row r="14" ht="38" customHeight="1">
      <x:c r="B14" s="16" t="str">
        <x:v>ALZ-HU-003</x:v>
      </x:c>
      <x:c r="C14" s="16" t="str">
        <x:v>Como estudiante, necesito incorporarme a una clase mediante un código válido, con la finalidad de acceder a sus actividades.</x:v>
      </x:c>
      <x:c r="D14" s="16" t="str">
        <x:v>Definir códigos y estados de inscripción</x:v>
      </x:c>
      <x:c r="E14" s="16" t="str">
        <x:v>Marcelo Núñez</x:v>
      </x:c>
      <x:c r="F14" s="16" t="str">
        <x:v>Por iniciar</x:v>
      </x:c>
      <x:c r="G14" s="16" t="n">
        <x:v>4</x:v>
      </x:c>
      <x:c r="H14" s="9" t="n">
        <x:v>0</x:v>
      </x:c>
      <x:c r="I14" s="9" t="n">
        <x:f t="shared" si="18">G14-H14</x:f>
        <x:v>4</x:v>
      </x:c>
      <x:c r="J14" s="11"/>
      <x:c r="K14" s="9" t="n">
        <x:v>0</x:v>
      </x:c>
      <x:c r="L14" s="9" t="n">
        <x:f t="shared" si="0">I14-K14</x:f>
        <x:v>4</x:v>
      </x:c>
      <x:c r="M14" s="11"/>
      <x:c r="N14" s="9" t="n">
        <x:v>0</x:v>
      </x:c>
      <x:c r="O14" s="9" t="n">
        <x:f t="shared" si="1">L14-N14</x:f>
        <x:v>4</x:v>
      </x:c>
      <x:c r="P14" s="11"/>
      <x:c r="Q14" s="9" t="n">
        <x:v>0</x:v>
      </x:c>
      <x:c r="R14" s="9" t="n">
        <x:f t="shared" si="2">O14-Q14</x:f>
        <x:v>4</x:v>
      </x:c>
      <x:c r="S14" s="11"/>
      <x:c r="T14" s="9" t="n">
        <x:v>0</x:v>
      </x:c>
      <x:c r="U14" s="9" t="n">
        <x:f t="shared" si="3">R14-T14</x:f>
        <x:v>4</x:v>
      </x:c>
      <x:c r="V14" s="11"/>
      <x:c r="W14" s="9" t="n">
        <x:v>0</x:v>
      </x:c>
      <x:c r="X14" s="9" t="n">
        <x:f t="shared" si="4">U14-W14</x:f>
        <x:v>4</x:v>
      </x:c>
      <x:c r="Y14" s="11"/>
      <x:c r="Z14" s="9" t="n">
        <x:v>0</x:v>
      </x:c>
      <x:c r="AA14" s="9" t="n">
        <x:f t="shared" si="5">X14-Z14</x:f>
        <x:v>4</x:v>
      </x:c>
      <x:c r="AB14" s="11"/>
      <x:c r="AC14" s="9" t="n">
        <x:v>0</x:v>
      </x:c>
      <x:c r="AD14" s="9" t="n">
        <x:f t="shared" si="6">AA14-AC14</x:f>
        <x:v>4</x:v>
      </x:c>
      <x:c r="AE14" s="11"/>
      <x:c r="AF14" s="9" t="n">
        <x:v>0</x:v>
      </x:c>
      <x:c r="AG14" s="9" t="n">
        <x:f t="shared" si="7">AD14-AF14</x:f>
        <x:v>4</x:v>
      </x:c>
      <x:c r="AH14" s="11"/>
      <x:c r="AI14" s="9" t="n">
        <x:v>0</x:v>
      </x:c>
      <x:c r="AJ14" s="9" t="n">
        <x:f t="shared" si="8">AG14-AI14</x:f>
        <x:v>4</x:v>
      </x:c>
      <x:c r="AK14" s="11"/>
      <x:c r="AL14" s="26" t="n">
        <x:v>0</x:v>
      </x:c>
      <x:c r="AM14" s="26" t="n">
        <x:f t="shared" si="9">AJ14-AL14</x:f>
        <x:v>4</x:v>
      </x:c>
      <x:c r="AN14" s="26"/>
      <x:c r="AO14" s="26" t="n">
        <x:v>0</x:v>
      </x:c>
      <x:c r="AP14" s="26" t="n">
        <x:f t="shared" si="10">AM14-AO14</x:f>
        <x:v>4</x:v>
      </x:c>
      <x:c r="AQ14" s="26"/>
      <x:c r="AR14" s="26" t="n">
        <x:v>0</x:v>
      </x:c>
      <x:c r="AS14" s="26" t="n">
        <x:f t="shared" si="11">AP14-AR14</x:f>
        <x:v>4</x:v>
      </x:c>
      <x:c r="AT14" s="26"/>
      <x:c r="AU14" s="26" t="n">
        <x:v>0</x:v>
      </x:c>
      <x:c r="AV14" s="26" t="n">
        <x:f t="shared" si="12">AS14-AU14</x:f>
        <x:v>4</x:v>
      </x:c>
      <x:c r="AW14" s="26"/>
      <x:c r="AX14" s="26" t="n">
        <x:v>0</x:v>
      </x:c>
      <x:c r="AY14" s="26" t="n">
        <x:f t="shared" si="13">AV14-AX14</x:f>
        <x:v>4</x:v>
      </x:c>
      <x:c r="AZ14" s="26"/>
      <x:c r="BA14" s="26" t="n">
        <x:v>0</x:v>
      </x:c>
      <x:c r="BB14" s="26" t="n">
        <x:f t="shared" si="14">AY14-BA14</x:f>
        <x:v>4</x:v>
      </x:c>
      <x:c r="BC14" s="26"/>
      <x:c r="BD14" s="26" t="n">
        <x:v>0</x:v>
      </x:c>
      <x:c r="BE14" s="26" t="n">
        <x:f t="shared" si="15">BB14-BD14</x:f>
        <x:v>4</x:v>
      </x:c>
      <x:c r="BF14" s="26"/>
      <x:c r="BG14" s="26" t="n">
        <x:v>0</x:v>
      </x:c>
      <x:c r="BH14" s="26" t="n">
        <x:f t="shared" si="16">BE14-BG14</x:f>
        <x:v>4</x:v>
      </x:c>
      <x:c r="BI14" s="26"/>
      <x:c r="BJ14" s="26" t="n">
        <x:v>0</x:v>
      </x:c>
      <x:c r="BK14" s="26" t="n">
        <x:f t="shared" si="17">BH14-BJ14</x:f>
        <x:v>4</x:v>
      </x:c>
      <x:c r="BL14" s="26"/>
      <x:c r="BM14" s="26" t="n">
        <x:v>0</x:v>
      </x:c>
      <x:c r="BN14" s="26" t="n">
        <x:f t="shared" si="19">BK14-BM14</x:f>
        <x:v>4</x:v>
      </x:c>
      <x:c r="BO14" s="26"/>
      <x:c r="BP14" s="12" t="n">
        <x:f t="shared" si="20">SUM(H14,K14,N14,Q14,T14,W14,Z14,AC14,AF14,AI14,AL14,AO14,AR14,AU14,AX14,BA14,BD14,BG14,BJ14,BM14)</x:f>
        <x:v>0</x:v>
      </x:c>
      <x:c r="BQ14" s="12" t="n">
        <x:f t="shared" si="21">G14-BP14</x:f>
        <x:v>4</x:v>
      </x:c>
    </x:row>
    <x:row r="15" ht="38" customHeight="1">
      <x:c r="B15" s="16"/>
      <x:c r="C15" s="16"/>
      <x:c r="D15" s="16" t="str">
        <x:v>Implementar inscripción idempotente por código</x:v>
      </x:c>
      <x:c r="E15" s="16" t="str">
        <x:v>Marcelo Núñez</x:v>
      </x:c>
      <x:c r="F15" s="16" t="str">
        <x:v>Por iniciar</x:v>
      </x:c>
      <x:c r="G15" s="16" t="n">
        <x:v>8</x:v>
      </x:c>
      <x:c r="H15" s="9" t="n">
        <x:v>0</x:v>
      </x:c>
      <x:c r="I15" s="9" t="n">
        <x:f t="shared" si="18">G15-H15</x:f>
        <x:v>8</x:v>
      </x:c>
      <x:c r="J15" s="11"/>
      <x:c r="K15" s="9" t="n">
        <x:v>0</x:v>
      </x:c>
      <x:c r="L15" s="9" t="n">
        <x:f t="shared" si="0">I15-K15</x:f>
        <x:v>8</x:v>
      </x:c>
      <x:c r="M15" s="11"/>
      <x:c r="N15" s="9" t="n">
        <x:v>0</x:v>
      </x:c>
      <x:c r="O15" s="9" t="n">
        <x:f t="shared" si="1">L15-N15</x:f>
        <x:v>8</x:v>
      </x:c>
      <x:c r="P15" s="11"/>
      <x:c r="Q15" s="9" t="n">
        <x:v>0</x:v>
      </x:c>
      <x:c r="R15" s="9" t="n">
        <x:f t="shared" si="2">O15-Q15</x:f>
        <x:v>8</x:v>
      </x:c>
      <x:c r="S15" s="11"/>
      <x:c r="T15" s="9" t="n">
        <x:v>0</x:v>
      </x:c>
      <x:c r="U15" s="9" t="n">
        <x:f t="shared" si="3">R15-T15</x:f>
        <x:v>8</x:v>
      </x:c>
      <x:c r="V15" s="11"/>
      <x:c r="W15" s="9" t="n">
        <x:v>0</x:v>
      </x:c>
      <x:c r="X15" s="9" t="n">
        <x:f t="shared" si="4">U15-W15</x:f>
        <x:v>8</x:v>
      </x:c>
      <x:c r="Y15" s="11"/>
      <x:c r="Z15" s="9" t="n">
        <x:v>0</x:v>
      </x:c>
      <x:c r="AA15" s="9" t="n">
        <x:f t="shared" si="5">X15-Z15</x:f>
        <x:v>8</x:v>
      </x:c>
      <x:c r="AB15" s="11"/>
      <x:c r="AC15" s="9" t="n">
        <x:v>0</x:v>
      </x:c>
      <x:c r="AD15" s="9" t="n">
        <x:f t="shared" si="6">AA15-AC15</x:f>
        <x:v>8</x:v>
      </x:c>
      <x:c r="AE15" s="11"/>
      <x:c r="AF15" s="9" t="n">
        <x:v>0</x:v>
      </x:c>
      <x:c r="AG15" s="9" t="n">
        <x:f t="shared" si="7">AD15-AF15</x:f>
        <x:v>8</x:v>
      </x:c>
      <x:c r="AH15" s="11"/>
      <x:c r="AI15" s="9" t="n">
        <x:v>0</x:v>
      </x:c>
      <x:c r="AJ15" s="9" t="n">
        <x:f t="shared" si="8">AG15-AI15</x:f>
        <x:v>8</x:v>
      </x:c>
      <x:c r="AK15" s="11"/>
      <x:c r="AL15" s="26" t="n">
        <x:v>0</x:v>
      </x:c>
      <x:c r="AM15" s="26" t="n">
        <x:f t="shared" si="9">AJ15-AL15</x:f>
        <x:v>8</x:v>
      </x:c>
      <x:c r="AN15" s="26"/>
      <x:c r="AO15" s="26" t="n">
        <x:v>0</x:v>
      </x:c>
      <x:c r="AP15" s="26" t="n">
        <x:f t="shared" si="10">AM15-AO15</x:f>
        <x:v>8</x:v>
      </x:c>
      <x:c r="AQ15" s="26"/>
      <x:c r="AR15" s="26" t="n">
        <x:v>0</x:v>
      </x:c>
      <x:c r="AS15" s="26" t="n">
        <x:f t="shared" si="11">AP15-AR15</x:f>
        <x:v>8</x:v>
      </x:c>
      <x:c r="AT15" s="26"/>
      <x:c r="AU15" s="26" t="n">
        <x:v>0</x:v>
      </x:c>
      <x:c r="AV15" s="26" t="n">
        <x:f t="shared" si="12">AS15-AU15</x:f>
        <x:v>8</x:v>
      </x:c>
      <x:c r="AW15" s="26"/>
      <x:c r="AX15" s="26" t="n">
        <x:v>0</x:v>
      </x:c>
      <x:c r="AY15" s="26" t="n">
        <x:f t="shared" si="13">AV15-AX15</x:f>
        <x:v>8</x:v>
      </x:c>
      <x:c r="AZ15" s="26"/>
      <x:c r="BA15" s="26" t="n">
        <x:v>0</x:v>
      </x:c>
      <x:c r="BB15" s="26" t="n">
        <x:f t="shared" si="14">AY15-BA15</x:f>
        <x:v>8</x:v>
      </x:c>
      <x:c r="BC15" s="26"/>
      <x:c r="BD15" s="26" t="n">
        <x:v>0</x:v>
      </x:c>
      <x:c r="BE15" s="26" t="n">
        <x:f t="shared" si="15">BB15-BD15</x:f>
        <x:v>8</x:v>
      </x:c>
      <x:c r="BF15" s="26"/>
      <x:c r="BG15" s="26" t="n">
        <x:v>0</x:v>
      </x:c>
      <x:c r="BH15" s="26" t="n">
        <x:f t="shared" si="16">BE15-BG15</x:f>
        <x:v>8</x:v>
      </x:c>
      <x:c r="BI15" s="26"/>
      <x:c r="BJ15" s="26" t="n">
        <x:v>0</x:v>
      </x:c>
      <x:c r="BK15" s="26" t="n">
        <x:f t="shared" si="17">BH15-BJ15</x:f>
        <x:v>8</x:v>
      </x:c>
      <x:c r="BL15" s="26"/>
      <x:c r="BM15" s="26" t="n">
        <x:v>0</x:v>
      </x:c>
      <x:c r="BN15" s="26" t="n">
        <x:f t="shared" si="19">BK15-BM15</x:f>
        <x:v>8</x:v>
      </x:c>
      <x:c r="BO15" s="26"/>
      <x:c r="BP15" s="12" t="n">
        <x:f t="shared" si="20">SUM(H15,K15,N15,Q15,T15,W15,Z15,AC15,AF15,AI15,AL15,AO15,AR15,AU15,AX15,BA15,BD15,BG15,BJ15,BM15)</x:f>
        <x:v>0</x:v>
      </x:c>
      <x:c r="BQ15" s="12" t="n">
        <x:f t="shared" si="21">G15-BP15</x:f>
        <x:v>8</x:v>
      </x:c>
    </x:row>
    <x:row r="16" ht="38" customHeight="1">
      <x:c r="B16" s="16"/>
      <x:c r="C16" s="16"/>
      <x:c r="D16" s="16" t="str">
        <x:v>Construir ingreso de código y mensajes de error</x:v>
      </x:c>
      <x:c r="E16" s="16" t="str">
        <x:v>Benjamin Pérez</x:v>
      </x:c>
      <x:c r="F16" s="16" t="str">
        <x:v>Por iniciar</x:v>
      </x:c>
      <x:c r="G16" s="16" t="n">
        <x:v>6</x:v>
      </x:c>
      <x:c r="H16" s="9" t="n">
        <x:v>0</x:v>
      </x:c>
      <x:c r="I16" s="9" t="n">
        <x:f t="shared" si="18">G16-H16</x:f>
        <x:v>6</x:v>
      </x:c>
      <x:c r="J16" s="11"/>
      <x:c r="K16" s="9" t="n">
        <x:v>0</x:v>
      </x:c>
      <x:c r="L16" s="9" t="n">
        <x:f t="shared" si="0">I16-K16</x:f>
        <x:v>6</x:v>
      </x:c>
      <x:c r="M16" s="11"/>
      <x:c r="N16" s="9" t="n">
        <x:v>0</x:v>
      </x:c>
      <x:c r="O16" s="9" t="n">
        <x:f t="shared" si="1">L16-N16</x:f>
        <x:v>6</x:v>
      </x:c>
      <x:c r="P16" s="11"/>
      <x:c r="Q16" s="9" t="n">
        <x:v>0</x:v>
      </x:c>
      <x:c r="R16" s="9" t="n">
        <x:f t="shared" si="2">O16-Q16</x:f>
        <x:v>6</x:v>
      </x:c>
      <x:c r="S16" s="11"/>
      <x:c r="T16" s="9" t="n">
        <x:v>0</x:v>
      </x:c>
      <x:c r="U16" s="9" t="n">
        <x:f t="shared" si="3">R16-T16</x:f>
        <x:v>6</x:v>
      </x:c>
      <x:c r="V16" s="11"/>
      <x:c r="W16" s="9" t="n">
        <x:v>0</x:v>
      </x:c>
      <x:c r="X16" s="9" t="n">
        <x:f t="shared" si="4">U16-W16</x:f>
        <x:v>6</x:v>
      </x:c>
      <x:c r="Y16" s="11"/>
      <x:c r="Z16" s="9" t="n">
        <x:v>0</x:v>
      </x:c>
      <x:c r="AA16" s="9" t="n">
        <x:f t="shared" si="5">X16-Z16</x:f>
        <x:v>6</x:v>
      </x:c>
      <x:c r="AB16" s="11"/>
      <x:c r="AC16" s="9" t="n">
        <x:v>0</x:v>
      </x:c>
      <x:c r="AD16" s="9" t="n">
        <x:f t="shared" si="6">AA16-AC16</x:f>
        <x:v>6</x:v>
      </x:c>
      <x:c r="AE16" s="11"/>
      <x:c r="AF16" s="9" t="n">
        <x:v>0</x:v>
      </x:c>
      <x:c r="AG16" s="9" t="n">
        <x:f t="shared" si="7">AD16-AF16</x:f>
        <x:v>6</x:v>
      </x:c>
      <x:c r="AH16" s="11"/>
      <x:c r="AI16" s="9" t="n">
        <x:v>0</x:v>
      </x:c>
      <x:c r="AJ16" s="9" t="n">
        <x:f t="shared" si="8">AG16-AI16</x:f>
        <x:v>6</x:v>
      </x:c>
      <x:c r="AK16" s="11"/>
      <x:c r="AL16" s="26" t="n">
        <x:v>0</x:v>
      </x:c>
      <x:c r="AM16" s="26" t="n">
        <x:f t="shared" si="9">AJ16-AL16</x:f>
        <x:v>6</x:v>
      </x:c>
      <x:c r="AN16" s="26"/>
      <x:c r="AO16" s="26" t="n">
        <x:v>0</x:v>
      </x:c>
      <x:c r="AP16" s="26" t="n">
        <x:f t="shared" si="10">AM16-AO16</x:f>
        <x:v>6</x:v>
      </x:c>
      <x:c r="AQ16" s="26"/>
      <x:c r="AR16" s="26" t="n">
        <x:v>0</x:v>
      </x:c>
      <x:c r="AS16" s="26" t="n">
        <x:f t="shared" si="11">AP16-AR16</x:f>
        <x:v>6</x:v>
      </x:c>
      <x:c r="AT16" s="26"/>
      <x:c r="AU16" s="26" t="n">
        <x:v>0</x:v>
      </x:c>
      <x:c r="AV16" s="26" t="n">
        <x:f t="shared" si="12">AS16-AU16</x:f>
        <x:v>6</x:v>
      </x:c>
      <x:c r="AW16" s="26"/>
      <x:c r="AX16" s="26" t="n">
        <x:v>0</x:v>
      </x:c>
      <x:c r="AY16" s="26" t="n">
        <x:f t="shared" si="13">AV16-AX16</x:f>
        <x:v>6</x:v>
      </x:c>
      <x:c r="AZ16" s="26"/>
      <x:c r="BA16" s="26" t="n">
        <x:v>0</x:v>
      </x:c>
      <x:c r="BB16" s="26" t="n">
        <x:f t="shared" si="14">AY16-BA16</x:f>
        <x:v>6</x:v>
      </x:c>
      <x:c r="BC16" s="26"/>
      <x:c r="BD16" s="26" t="n">
        <x:v>0</x:v>
      </x:c>
      <x:c r="BE16" s="26" t="n">
        <x:f t="shared" si="15">BB16-BD16</x:f>
        <x:v>6</x:v>
      </x:c>
      <x:c r="BF16" s="26"/>
      <x:c r="BG16" s="26" t="n">
        <x:v>0</x:v>
      </x:c>
      <x:c r="BH16" s="26" t="n">
        <x:f t="shared" si="16">BE16-BG16</x:f>
        <x:v>6</x:v>
      </x:c>
      <x:c r="BI16" s="26"/>
      <x:c r="BJ16" s="26" t="n">
        <x:v>0</x:v>
      </x:c>
      <x:c r="BK16" s="26" t="n">
        <x:f t="shared" si="17">BH16-BJ16</x:f>
        <x:v>6</x:v>
      </x:c>
      <x:c r="BL16" s="26"/>
      <x:c r="BM16" s="26" t="n">
        <x:v>0</x:v>
      </x:c>
      <x:c r="BN16" s="26" t="n">
        <x:f t="shared" si="19">BK16-BM16</x:f>
        <x:v>6</x:v>
      </x:c>
      <x:c r="BO16" s="26"/>
      <x:c r="BP16" s="12" t="n">
        <x:f t="shared" si="20">SUM(H16,K16,N16,Q16,T16,W16,Z16,AC16,AF16,AI16,AL16,AO16,AR16,AU16,AX16,BA16,BD16,BG16,BJ16,BM16)</x:f>
        <x:v>0</x:v>
      </x:c>
      <x:c r="BQ16" s="12" t="n">
        <x:f t="shared" si="21">G16-BP16</x:f>
        <x:v>6</x:v>
      </x:c>
    </x:row>
    <x:row r="17" ht="38" customHeight="1">
      <x:c r="B17" s="16"/>
      <x:c r="C17" s="16"/>
      <x:c r="D17" s="16" t="str">
        <x:v>Probar código válido, inválido y duplicado</x:v>
      </x:c>
      <x:c r="E17" s="16" t="str">
        <x:v>Abraham Retamal</x:v>
      </x:c>
      <x:c r="F17" s="16" t="str">
        <x:v>Por iniciar</x:v>
      </x:c>
      <x:c r="G17" s="16" t="n">
        <x:v>6</x:v>
      </x:c>
      <x:c r="H17" s="9" t="n">
        <x:v>0</x:v>
      </x:c>
      <x:c r="I17" s="9" t="n">
        <x:f t="shared" si="18">G17-H17</x:f>
        <x:v>6</x:v>
      </x:c>
      <x:c r="J17" s="11"/>
      <x:c r="K17" s="9" t="n">
        <x:v>0</x:v>
      </x:c>
      <x:c r="L17" s="9" t="n">
        <x:f t="shared" si="0">I17-K17</x:f>
        <x:v>6</x:v>
      </x:c>
      <x:c r="M17" s="11"/>
      <x:c r="N17" s="9" t="n">
        <x:v>0</x:v>
      </x:c>
      <x:c r="O17" s="9" t="n">
        <x:f t="shared" si="1">L17-N17</x:f>
        <x:v>6</x:v>
      </x:c>
      <x:c r="P17" s="11"/>
      <x:c r="Q17" s="9" t="n">
        <x:v>0</x:v>
      </x:c>
      <x:c r="R17" s="9" t="n">
        <x:f t="shared" si="2">O17-Q17</x:f>
        <x:v>6</x:v>
      </x:c>
      <x:c r="S17" s="11"/>
      <x:c r="T17" s="9" t="n">
        <x:v>0</x:v>
      </x:c>
      <x:c r="U17" s="9" t="n">
        <x:f t="shared" si="3">R17-T17</x:f>
        <x:v>6</x:v>
      </x:c>
      <x:c r="V17" s="11"/>
      <x:c r="W17" s="9" t="n">
        <x:v>0</x:v>
      </x:c>
      <x:c r="X17" s="9" t="n">
        <x:f t="shared" si="4">U17-W17</x:f>
        <x:v>6</x:v>
      </x:c>
      <x:c r="Y17" s="11"/>
      <x:c r="Z17" s="9" t="n">
        <x:v>0</x:v>
      </x:c>
      <x:c r="AA17" s="9" t="n">
        <x:f t="shared" si="5">X17-Z17</x:f>
        <x:v>6</x:v>
      </x:c>
      <x:c r="AB17" s="11"/>
      <x:c r="AC17" s="9" t="n">
        <x:v>0</x:v>
      </x:c>
      <x:c r="AD17" s="9" t="n">
        <x:f t="shared" si="6">AA17-AC17</x:f>
        <x:v>6</x:v>
      </x:c>
      <x:c r="AE17" s="11"/>
      <x:c r="AF17" s="9" t="n">
        <x:v>0</x:v>
      </x:c>
      <x:c r="AG17" s="9" t="n">
        <x:f t="shared" si="7">AD17-AF17</x:f>
        <x:v>6</x:v>
      </x:c>
      <x:c r="AH17" s="11"/>
      <x:c r="AI17" s="9" t="n">
        <x:v>0</x:v>
      </x:c>
      <x:c r="AJ17" s="9" t="n">
        <x:f t="shared" si="8">AG17-AI17</x:f>
        <x:v>6</x:v>
      </x:c>
      <x:c r="AK17" s="11"/>
      <x:c r="AL17" s="26" t="n">
        <x:v>0</x:v>
      </x:c>
      <x:c r="AM17" s="26" t="n">
        <x:f t="shared" si="9">AJ17-AL17</x:f>
        <x:v>6</x:v>
      </x:c>
      <x:c r="AN17" s="26"/>
      <x:c r="AO17" s="26" t="n">
        <x:v>0</x:v>
      </x:c>
      <x:c r="AP17" s="26" t="n">
        <x:f t="shared" si="10">AM17-AO17</x:f>
        <x:v>6</x:v>
      </x:c>
      <x:c r="AQ17" s="26"/>
      <x:c r="AR17" s="26" t="n">
        <x:v>0</x:v>
      </x:c>
      <x:c r="AS17" s="26" t="n">
        <x:f t="shared" si="11">AP17-AR17</x:f>
        <x:v>6</x:v>
      </x:c>
      <x:c r="AT17" s="26"/>
      <x:c r="AU17" s="26" t="n">
        <x:v>0</x:v>
      </x:c>
      <x:c r="AV17" s="26" t="n">
        <x:f t="shared" si="12">AS17-AU17</x:f>
        <x:v>6</x:v>
      </x:c>
      <x:c r="AW17" s="26"/>
      <x:c r="AX17" s="26" t="n">
        <x:v>0</x:v>
      </x:c>
      <x:c r="AY17" s="26" t="n">
        <x:f t="shared" si="13">AV17-AX17</x:f>
        <x:v>6</x:v>
      </x:c>
      <x:c r="AZ17" s="26"/>
      <x:c r="BA17" s="26" t="n">
        <x:v>0</x:v>
      </x:c>
      <x:c r="BB17" s="26" t="n">
        <x:f t="shared" si="14">AY17-BA17</x:f>
        <x:v>6</x:v>
      </x:c>
      <x:c r="BC17" s="26"/>
      <x:c r="BD17" s="26" t="n">
        <x:v>0</x:v>
      </x:c>
      <x:c r="BE17" s="26" t="n">
        <x:f t="shared" si="15">BB17-BD17</x:f>
        <x:v>6</x:v>
      </x:c>
      <x:c r="BF17" s="26"/>
      <x:c r="BG17" s="26" t="n">
        <x:v>0</x:v>
      </x:c>
      <x:c r="BH17" s="26" t="n">
        <x:f t="shared" si="16">BE17-BG17</x:f>
        <x:v>6</x:v>
      </x:c>
      <x:c r="BI17" s="26"/>
      <x:c r="BJ17" s="26" t="n">
        <x:v>0</x:v>
      </x:c>
      <x:c r="BK17" s="26" t="n">
        <x:f t="shared" si="17">BH17-BJ17</x:f>
        <x:v>6</x:v>
      </x:c>
      <x:c r="BL17" s="26"/>
      <x:c r="BM17" s="26" t="n">
        <x:v>0</x:v>
      </x:c>
      <x:c r="BN17" s="26" t="n">
        <x:f t="shared" si="19">BK17-BM17</x:f>
        <x:v>6</x:v>
      </x:c>
      <x:c r="BO17" s="26"/>
      <x:c r="BP17" s="12" t="n">
        <x:f t="shared" si="20">SUM(H17,K17,N17,Q17,T17,W17,Z17,AC17,AF17,AI17,AL17,AO17,AR17,AU17,AX17,BA17,BD17,BG17,BJ17,BM17)</x:f>
        <x:v>0</x:v>
      </x:c>
      <x:c r="BQ17" s="12" t="n">
        <x:f t="shared" si="21">G17-BP17</x:f>
        <x:v>6</x:v>
      </x:c>
    </x:row>
  </x:sheetData>
  <x:mergeCells>
    <x:mergeCell ref="AL4:AM4"/>
    <x:mergeCell ref="H4:I4"/>
    <x:mergeCell ref="K4:L4"/>
    <x:mergeCell ref="N4:O4"/>
    <x:mergeCell ref="Q4:R4"/>
    <x:mergeCell ref="T4:U4"/>
    <x:mergeCell ref="W4:X4"/>
    <x:mergeCell ref="Z4:AA4"/>
    <x:mergeCell ref="AC4:AD4"/>
    <x:mergeCell ref="AF4:AG4"/>
    <x:mergeCell ref="AI4:AJ4"/>
    <x:mergeCell ref="BG4:BH4"/>
    <x:mergeCell ref="BJ4:BK4"/>
    <x:mergeCell ref="BM4:BN4"/>
    <x:mergeCell ref="BP4:BQ4"/>
    <x:mergeCell ref="AO4:AP4"/>
    <x:mergeCell ref="AR4:AS4"/>
    <x:mergeCell ref="AU4:AV4"/>
    <x:mergeCell ref="AX4:AY4"/>
    <x:mergeCell ref="BA4:BB4"/>
    <x:mergeCell ref="BD4:BE4"/>
  </x:mergeCells>
  <x:pageMargins left="0.7" right="0.7" top="0.75" bottom="0.75" header="0.3" footer="0.3"/>
</x:worksheet>
</file>

<file path=xl/worksheets/sheet2.xml><?xml version="1.0" encoding="utf-8"?>
<x:worksheet xmlns:x="http://schemas.openxmlformats.org/spreadsheetml/2006/main">
  <x:sheetFormatPr baseColWidth="10" defaultRowHeight="15"/>
  <x:cols>
    <x:col min="1" max="1" width="1.5703125" style="4" customWidth="1"/>
    <x:col min="2" max="2" width="27.7109375" style="4" customWidth="1"/>
    <x:col min="3" max="3" width="86" style="4" customWidth="1"/>
    <x:col min="4" max="4" width="2.85546875" style="4" customWidth="1"/>
    <x:col min="5" max="16384" width="11.42578125" style="4" customWidth="0"/>
  </x:cols>
  <x:sheetData>
    <x:row r="1" ht="28.5">
      <x:c r="B1" s="13" t="s">
        <x:v>19</x:v>
      </x:c>
    </x:row>
    <x:row r="2" ht="21">
      <x:c r="B2" s="3" t="s">
        <x:v>20</x:v>
      </x:c>
    </x:row>
    <x:row r="4">
      <x:c r="B4" s="1" t="s">
        <x:v>21</x:v>
      </x:c>
      <x:c r="C4" s="1" t="s">
        <x:v>22</x:v>
      </x:c>
    </x:row>
    <x:row r="5" ht="30">
      <x:c r="B5" s="5" t="str">
        <x:f>'Sprint Backlog'!B5</x:f>
        <x:v>Identificador (ID) de item de product backlog</x:v>
      </x:c>
      <x:c r="C5" s="5" t="s">
        <x:v>23</x:v>
      </x:c>
    </x:row>
    <x:row r="6" ht="60">
      <x:c r="B6" s="5" t="str">
        <x:f>'Sprint Backlog'!C5</x:f>
        <x:v>Enunciado del item de Product Backlog</x:v>
      </x:c>
      <x:c r="C6" s="5" t="s">
        <x:v>24</x:v>
      </x:c>
    </x:row>
    <x:row r="7" ht="60">
      <x:c r="B7" s="5" t="s">
        <x:v>13</x:v>
      </x:c>
      <x:c r="C7" s="5" t="s">
        <x:v>25</x:v>
      </x:c>
    </x:row>
    <x:row r="8" ht="75">
      <x:c r="B8" s="5" t="s">
        <x:v>14</x:v>
      </x:c>
      <x:c r="C8" s="5" t="s">
        <x:v>26</x:v>
      </x:c>
    </x:row>
    <x:row r="9" ht="75">
      <x:c r="B9" s="5" t="s">
        <x:v>15</x:v>
      </x:c>
      <x:c r="C9" s="5" t="s">
        <x:v>27</x:v>
      </x:c>
    </x:row>
    <x:row r="10" ht="45">
      <x:c r="B10" s="5" t="s">
        <x:v>16</x:v>
      </x:c>
      <x:c r="C10" s="5" t="s">
        <x:v>28</x:v>
      </x:c>
    </x:row>
    <x:row r="11" ht="30">
      <x:c r="B11" s="5" t="s">
        <x:v>29</x:v>
      </x:c>
      <x:c r="C11" s="5" t="s">
        <x:v>30</x:v>
      </x:c>
    </x:row>
    <x:row r="12">
      <x:c r="B12" s="5" t="s">
        <x:v>17</x:v>
      </x:c>
      <x:c r="C12" s="5" t="s">
        <x:v>31</x:v>
      </x:c>
    </x:row>
    <x:row r="13" ht="45">
      <x:c r="B13" s="5" t="s">
        <x:v>18</x:v>
      </x:c>
      <x:c r="C13" s="5" t="s">
        <x:v>32</x:v>
      </x:c>
    </x:row>
    <x:row r="14" ht="30">
      <x:c r="B14" s="5" t="s">
        <x:v>10</x:v>
      </x:c>
      <x:c r="C14" s="5" t="s">
        <x:v>33</x:v>
      </x:c>
    </x:row>
  </x:sheetData>
  <x:pageMargins left="0.7" right="0.7" top="0.75" bottom="0.75" header="0.3" footer="0.3"/>
</x:worksheet>
</file>