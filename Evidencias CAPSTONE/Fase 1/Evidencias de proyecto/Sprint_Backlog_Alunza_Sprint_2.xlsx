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127b51eee46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y capacidad" sheetId="1" r:id="R54c91cc941e84c4c"/>
    <x:sheet xmlns:r="http://schemas.openxmlformats.org/officeDocument/2006/relationships" name="Sprint Backlog" sheetId="2" r:id="R04cada2b97de46c1"/>
    <x:sheet xmlns:r="http://schemas.openxmlformats.org/officeDocument/2006/relationships" name="Instructivo" sheetId="3" r:id="R7be85d54caa946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23B5D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i/>
      <x:sz val="9"/>
      <x:color rgb="FF123B5D"/>
      <x:name val="Carlito"/>
    </x:font>
    <x:font>
      <x:b/>
      <x:sz val="11"/>
      <x:color rgb="FF123B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2A42"/>
      </x:patternFill>
    </x:fill>
    <x:fill>
      <x:patternFill patternType="solid">
        <x:fgColor rgb="FFEAF2F8"/>
      </x:patternFill>
    </x:fill>
    <x:fill>
      <x:patternFill patternType="solid">
        <x:fgColor rgb="FF123B5D"/>
      </x:patternFill>
    </x:fill>
    <x:fill>
      <x:patternFill patternType="solid">
        <x:fgColor rgb="FFDDF5F3"/>
      </x:patternFill>
    </x:fill>
  </x:fills>
  <x:borders count="2">
    <x:border/>
    <x:border>
      <x:left style="thin">
        <x:color rgb="FFCBD8E2"/>
      </x:left>
      <x:right style="thin">
        <x:color rgb="FFCBD8E2"/>
      </x:right>
      <x:top style="thin">
        <x:color rgb="FFCBD8E2"/>
      </x:top>
      <x:bottom style="thin">
        <x:color rgb="FFCBD8E2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200" fontId="6" fillId="5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A3261D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123B5D"/>
      </x:font>
      <x:fill>
        <x:patternFill>
          <x:bgColor rgb="FFEAF2F8"/>
        </x:patternFill>
      </x:fill>
    </x:dxf>
    <x:dxf>
      <x:font>
        <x:b/>
        <x:color rgb="FFA3261D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91cd6148334102" /><Relationship Type="http://schemas.openxmlformats.org/officeDocument/2006/relationships/theme" Target="/xl/theme/theme1.xml" Id="Re5f0a09c77e74f75" /><Relationship Type="http://schemas.openxmlformats.org/officeDocument/2006/relationships/sharedStrings" Target="/xl/sharedStrings.xml" Id="Rd7a32e96f8154af4" /><Relationship Type="http://schemas.openxmlformats.org/officeDocument/2006/relationships/worksheet" Target="/xl/worksheets/sheet1.xml" Id="R54c91cc941e84c4c" /><Relationship Type="http://schemas.openxmlformats.org/officeDocument/2006/relationships/worksheet" Target="/xl/worksheets/sheet2.xml" Id="R04cada2b97de46c1" /><Relationship Type="http://schemas.openxmlformats.org/officeDocument/2006/relationships/worksheet" Target="/xl/worksheets/sheet3.xml" Id="R7be85d54caa94618" /></Relationships>
</file>

<file path=xl/tables/table1.xml><?xml version="1.0" encoding="utf-8"?>
<x:table xmlns:x="http://schemas.openxmlformats.org/spreadsheetml/2006/main" id="1" name="SprintBacklogS2" displayName="SprintBacklogS2" ref="A5:T17" headerRowCount="1" totalsRowCount="0" totalsRowShown="0">
  <x:tableColumns count="20">
    <x:tableColumn id="1" name="ID tarea"/>
    <x:tableColumn id="2" name="HU asociada"/>
    <x:tableColumn id="3" name="Tarea"/>
    <x:tableColumn id="4" name="Descripción"/>
    <x:tableColumn id="5" name="Responsable"/>
    <x:tableColumn id="6" name="Estado"/>
    <x:tableColumn id="7" name="Horas estimadas"/>
    <x:tableColumn id="8" name="Día 1"/>
    <x:tableColumn id="9" name="Día 2"/>
    <x:tableColumn id="10" name="Día 3"/>
    <x:tableColumn id="11" name="Día 4"/>
    <x:tableColumn id="12" name="Día 5"/>
    <x:tableColumn id="13" name="Día 6"/>
    <x:tableColumn id="14" name="Día 7"/>
    <x:tableColumn id="15" name="Día 8"/>
    <x:tableColumn id="16" name="Día 9"/>
    <x:tableColumn id="17" name="Día 10"/>
    <x:tableColumn id="18" name="Consumido"/>
    <x:tableColumn id="19" name="Restante"/>
    <x:tableColumn id="20" name="Desviac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8c83dc5c7b499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6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7" t="str">
        <x:v>Alunza — Sprint 2: capacidad planificada</x:v>
      </x:c>
      <x:c r="B1" s="7"/>
      <x:c r="C1" s="7"/>
      <x:c r="D1" s="7"/>
      <x:c r="E1" s="7"/>
      <x:c r="F1" s="7"/>
      <x:c r="G1" s="7"/>
      <x:c r="H1" s="7"/>
    </x:row>
    <x:row r="2" ht="24" customHeight="1">
      <x:c r="A2" s="8" t="str">
        <x:v>Semanas 5–6 · 12 tareas · 60 horas · ninguna hora consumida al corte 02/09/2026</x:v>
      </x:c>
      <x:c r="B2" s="8"/>
      <x:c r="C2" s="8"/>
      <x:c r="D2" s="8"/>
      <x:c r="E2" s="8"/>
      <x:c r="F2" s="8"/>
      <x:c r="G2" s="8"/>
      <x:c r="H2" s="8"/>
    </x:row>
    <x:row r="4" ht="34" customHeight="1">
      <x:c r="A4" s="14" t="str">
        <x:v>Responsable</x:v>
      </x:c>
      <x:c r="B4" s="14" t="str">
        <x:v>Horas planificadas</x:v>
      </x:c>
      <x:c r="C4" s="14" t="str">
        <x:v>Horas consumidas</x:v>
      </x:c>
      <x:c r="D4" s="14" t="str">
        <x:v>Horas restantes</x:v>
      </x:c>
      <x:c r="E4" s="14" t="str">
        <x:v>Desviación</x:v>
      </x:c>
    </x:row>
    <x:row r="5">
      <x:c r="A5" s="18" t="str">
        <x:v>Marcelo Núñez</x:v>
      </x:c>
      <x:c r="B5" s="19" t="n">
        <x:f>SUMIF('Sprint Backlog'!$E$6:$E$17,A5,'Sprint Backlog'!$G$6:$G$17)</x:f>
        <x:v>21</x:v>
      </x:c>
      <x:c r="C5" s="19" t="n">
        <x:f>SUMIF('Sprint Backlog'!$E$6:$E$17,A5,'Sprint Backlog'!$R$6:$R$17)</x:f>
        <x:v>0</x:v>
      </x:c>
      <x:c r="D5" s="19" t="n">
        <x:f>SUMIF('Sprint Backlog'!$E$6:$E$17,A5,'Sprint Backlog'!$S$6:$S$17)</x:f>
        <x:v>21</x:v>
      </x:c>
      <x:c r="E5" s="19" t="n">
        <x:f>SUMIF('Sprint Backlog'!$E$6:$E$17,A5,'Sprint Backlog'!$T$6:$T$17)</x:f>
        <x:v>0</x:v>
      </x:c>
    </x:row>
    <x:row r="6">
      <x:c r="A6" s="18" t="str">
        <x:v>Abraham Retamal</x:v>
      </x:c>
      <x:c r="B6" s="19" t="n">
        <x:f>SUMIF('Sprint Backlog'!$E$6:$E$17,A6,'Sprint Backlog'!$G$6:$G$17)</x:f>
        <x:v>20</x:v>
      </x:c>
      <x:c r="C6" s="19" t="n">
        <x:f>SUMIF('Sprint Backlog'!$E$6:$E$17,A6,'Sprint Backlog'!$R$6:$R$17)</x:f>
        <x:v>0</x:v>
      </x:c>
      <x:c r="D6" s="19" t="n">
        <x:f>SUMIF('Sprint Backlog'!$E$6:$E$17,A6,'Sprint Backlog'!$S$6:$S$17)</x:f>
        <x:v>20</x:v>
      </x:c>
      <x:c r="E6" s="19" t="n">
        <x:f>SUMIF('Sprint Backlog'!$E$6:$E$17,A6,'Sprint Backlog'!$T$6:$T$17)</x:f>
        <x:v>0</x:v>
      </x:c>
    </x:row>
    <x:row r="7">
      <x:c r="A7" s="18" t="str">
        <x:v>Benjamin Pérez</x:v>
      </x:c>
      <x:c r="B7" s="19" t="n">
        <x:f>SUMIF('Sprint Backlog'!$E$6:$E$17,A7,'Sprint Backlog'!$G$6:$G$17)</x:f>
        <x:v>19</x:v>
      </x:c>
      <x:c r="C7" s="19" t="n">
        <x:f>SUMIF('Sprint Backlog'!$E$6:$E$17,A7,'Sprint Backlog'!$R$6:$R$17)</x:f>
        <x:v>0</x:v>
      </x:c>
      <x:c r="D7" s="19" t="n">
        <x:f>SUMIF('Sprint Backlog'!$E$6:$E$17,A7,'Sprint Backlog'!$S$6:$S$17)</x:f>
        <x:v>19</x:v>
      </x:c>
      <x:c r="E7" s="19" t="n">
        <x:f>SUMIF('Sprint Backlog'!$E$6:$E$17,A7,'Sprint Backlog'!$T$6:$T$17)</x:f>
        <x:v>0</x:v>
      </x:c>
    </x:row>
    <x:row r="8">
      <x:c r="A8" s="18" t="str">
        <x:v>Total Sprint 2</x:v>
      </x:c>
      <x:c r="B8" s="19" t="n">
        <x:f>SUM(B5:B7)</x:f>
        <x:v>60</x:v>
      </x:c>
      <x:c r="C8" s="19" t="n">
        <x:f>SUM(C5:C7)</x:f>
        <x:v>0</x:v>
      </x:c>
      <x:c r="D8" s="19" t="n">
        <x:f>SUM(D5:D7)</x:f>
        <x:v>60</x:v>
      </x:c>
      <x:c r="E8" s="19" t="n">
        <x:f>SUM(E5:E7)</x:f>
        <x:v>0</x:v>
      </x:c>
    </x:row>
    <x:row r="11" ht="34" customHeight="1">
      <x:c r="A11" s="14" t="str">
        <x:v>Control</x:v>
      </x:c>
      <x:c r="B11" s="14" t="str">
        <x:v>Valor</x:v>
      </x:c>
      <x:c r="C11" s="14" t="str">
        <x:v>Esperado</x:v>
      </x:c>
      <x:c r="D11" s="14" t="str">
        <x:v>Resultado</x:v>
      </x:c>
    </x:row>
    <x:row r="12">
      <x:c r="A12" s="18" t="str">
        <x:v>Tareas</x:v>
      </x:c>
      <x:c r="B12" s="18" t="n">
        <x:f>COUNTA('Sprint Backlog'!$A$6:$A$17)</x:f>
        <x:v>12</x:v>
      </x:c>
      <x:c r="C12" s="18" t="n">
        <x:v>12</x:v>
      </x:c>
      <x:c r="D12" s="18" t="str">
        <x:f>IF(B12=C12,"OK","REVISAR")</x:f>
        <x:v>OK</x:v>
      </x:c>
    </x:row>
    <x:row r="13">
      <x:c r="A13" s="18" t="str">
        <x:v>Horas totales</x:v>
      </x:c>
      <x:c r="B13" s="18" t="n">
        <x:f>SUM('Sprint Backlog'!$G$6:$G$17)</x:f>
        <x:v>60</x:v>
      </x:c>
      <x:c r="C13" s="18" t="n">
        <x:v>60</x:v>
      </x:c>
      <x:c r="D13" s="18" t="str">
        <x:f>IF(B13=C13,"OK","REVISAR")</x:f>
        <x:v>OK</x:v>
      </x:c>
    </x:row>
    <x:row r="14">
      <x:c r="A14" s="18" t="str">
        <x:v>Días visibles</x:v>
      </x:c>
      <x:c r="B14" s="18" t="n">
        <x:v>10</x:v>
      </x:c>
      <x:c r="C14" s="18" t="n">
        <x:v>10</x:v>
      </x:c>
      <x:c r="D14" s="18" t="str">
        <x:f>IF(B14=C14,"OK","REVISAR")</x:f>
        <x:v>OK</x:v>
      </x:c>
    </x:row>
    <x:row r="15">
      <x:c r="A15" s="18" t="str">
        <x:v>Estados distintos de Planificado</x:v>
      </x:c>
      <x:c r="B15" s="18" t="n">
        <x:f>COUNTIF('Sprint Backlog'!$F$6:$F$17,"&lt;&gt;Planificado")</x:f>
        <x:v>0</x:v>
      </x:c>
      <x:c r="C15" s="18" t="n">
        <x:v>0</x:v>
      </x:c>
      <x:c r="D15" s="18" t="str">
        <x:f>IF(B15=C15,"OK","REVISAR")</x:f>
        <x:v>OK</x:v>
      </x:c>
    </x:row>
    <x:row r="18" ht="32" customHeight="1">
      <x:c r="A18" s="23" t="str">
        <x:v>La desviación queda visible: Consumo + Restante − Estimado. Si el consumo supera la estimación, Restante se limita a cero y la desviación muestra el exceso; no se ocultan saldos negativos.</x:v>
      </x:c>
      <x:c r="B18" s="23" t="str">
        <x:v>La desviación queda visible: Consumo + Restante − Estimado. Si el consumo supera la estimación, Restante se limita a cero y la desviación muestra el exceso; no se ocultan saldos negativos.</x:v>
      </x:c>
      <x:c r="C18" s="23" t="str">
        <x:v>La desviación queda visible: Consumo + Restante − Estimado. Si el consumo supera la estimación, Restante se limita a cero y la desviación muestra el exceso; no se ocultan saldos negativos.</x:v>
      </x:c>
      <x:c r="D18" s="23" t="str">
        <x:v>La desviación queda visible: Consumo + Restante − Estimado. Si el consumo supera la estimación, Restante se limita a cero y la desviación muestra el exceso; no se ocultan saldos negativos.</x:v>
      </x:c>
      <x:c r="E18" s="23" t="str">
        <x:v>La desviación queda visible: Consumo + Restante − Estimado. Si el consumo supera la estimación, Restante se limita a cero y la desviación muestra el exceso; no se ocultan saldos negativos.</x:v>
      </x:c>
      <x:c r="F18" s="23" t="str">
        <x:v>La desviación queda visible: Consumo + Restante − Estimado. Si el consumo supera la estimación, Restante se limita a cero y la desviación muestra el exceso; no se ocultan saldos negativos.</x:v>
      </x:c>
      <x:c r="G18" s="23" t="str">
        <x:v>La desviación queda visible: Consumo + Restante − Estimado. Si el consumo supera la estimación, Restante se limita a cero y la desviación muestra el exceso; no se ocultan saldos negativos.</x:v>
      </x:c>
      <x:c r="H18" s="23" t="str">
        <x:v>La desviación queda visible: Consumo + Restante − Estimado. Si el consumo supera la estimación, Restante se limita a cero y la desviación muestra el exceso; no se ocultan saldos negativos.</x:v>
      </x:c>
    </x:row>
    <x:row r="19" ht="32" customHeight="1">
      <x:c r="A19" s="23" t="str">
        <x:v>La desviación queda visible: Consumo + Restante − Estimado. Si el consumo supera la estimación, Restante se limita a cero y la desviación muestra el exceso; no se ocultan saldos negativos.</x:v>
      </x:c>
      <x:c r="B19" s="23" t="str">
        <x:v>La desviación queda visible: Consumo + Restante − Estimado. Si el consumo supera la estimación, Restante se limita a cero y la desviación muestra el exceso; no se ocultan saldos negativos.</x:v>
      </x:c>
      <x:c r="C19" s="23" t="str">
        <x:v>La desviación queda visible: Consumo + Restante − Estimado. Si el consumo supera la estimación, Restante se limita a cero y la desviación muestra el exceso; no se ocultan saldos negativos.</x:v>
      </x:c>
      <x:c r="D19" s="23" t="str">
        <x:v>La desviación queda visible: Consumo + Restante − Estimado. Si el consumo supera la estimación, Restante se limita a cero y la desviación muestra el exceso; no se ocultan saldos negativos.</x:v>
      </x:c>
      <x:c r="E19" s="23" t="str">
        <x:v>La desviación queda visible: Consumo + Restante − Estimado. Si el consumo supera la estimación, Restante se limita a cero y la desviación muestra el exceso; no se ocultan saldos negativos.</x:v>
      </x:c>
      <x:c r="F19" s="23" t="str">
        <x:v>La desviación queda visible: Consumo + Restante − Estimado. Si el consumo supera la estimación, Restante se limita a cero y la desviación muestra el exceso; no se ocultan saldos negativos.</x:v>
      </x:c>
      <x:c r="G19" s="23" t="str">
        <x:v>La desviación queda visible: Consumo + Restante − Estimado. Si el consumo supera la estimación, Restante se limita a cero y la desviación muestra el exceso; no se ocultan saldos negativos.</x:v>
      </x:c>
      <x:c r="H19" s="23" t="str">
        <x:v>La desviación queda visible: Consumo + Restante − Estimado. Si el consumo supera la estimación, Restante se limita a cero y la desviación muestra el exceso; no se ocultan saldos negativos.</x:v>
      </x:c>
    </x:row>
  </x:sheetData>
  <x:mergeCells>
    <x:mergeCell ref="A1:H1"/>
    <x:mergeCell ref="A2:H2"/>
    <x:mergeCell ref="A18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7" ySplit="5" topLeftCell="H6" activePane="bottomRight" state="frozen"/>
    </x:sheetView>
  </x:sheetViews>
  <x:sheetFormatPr defaultRowHeight="15"/>
  <x:cols>
    <x:col min="1" max="1" width="15" hidden="0" customWidth="1"/>
    <x:col min="2" max="2" width="26" hidden="0" customWidth="1"/>
    <x:col min="3" max="3" width="30" hidden="0" customWidth="1"/>
    <x:col min="4" max="4" width="42" hidden="0" customWidth="1"/>
    <x:col min="5" max="5" width="20" hidden="0" customWidth="1"/>
    <x:col min="6" max="6" width="16" hidden="0" customWidth="1"/>
    <x:col min="7" max="7" width="12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12" hidden="0" customWidth="1"/>
    <x:col min="19" max="19" width="12" hidden="0" customWidth="1"/>
    <x:col min="20" max="20" width="12" hidden="0" customWidth="1"/>
  </x:cols>
  <x:sheetData>
    <x:row r="1" ht="30" customHeight="1">
      <x:c r="A1" s="7" t="str">
        <x:v>Alunza — Sprint Backlog de Sprint 2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</x:row>
    <x:row r="2" ht="24" customHeight="1">
      <x:c r="A2" s="8" t="str">
        <x:v>Base de plataforma · semanas 5–6 · 10 días hábiles · capacidad 60 h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</x:row>
    <x:row r="5" ht="34" customHeight="1">
      <x:c r="A5" s="14" t="str">
        <x:v>ID tarea</x:v>
      </x:c>
      <x:c r="B5" s="14" t="str">
        <x:v>HU asociada</x:v>
      </x:c>
      <x:c r="C5" s="14" t="str">
        <x:v>Tarea</x:v>
      </x:c>
      <x:c r="D5" s="14" t="str">
        <x:v>Descripción</x:v>
      </x:c>
      <x:c r="E5" s="14" t="str">
        <x:v>Responsable</x:v>
      </x:c>
      <x:c r="F5" s="14" t="str">
        <x:v>Estado</x:v>
      </x:c>
      <x:c r="G5" s="14" t="str">
        <x:v>Horas estimadas</x:v>
      </x:c>
      <x:c r="H5" s="14" t="str">
        <x:v>Día 1</x:v>
      </x:c>
      <x:c r="I5" s="14" t="str">
        <x:v>Día 2</x:v>
      </x:c>
      <x:c r="J5" s="14" t="str">
        <x:v>Día 3</x:v>
      </x:c>
      <x:c r="K5" s="14" t="str">
        <x:v>Día 4</x:v>
      </x:c>
      <x:c r="L5" s="14" t="str">
        <x:v>Día 5</x:v>
      </x:c>
      <x:c r="M5" s="14" t="str">
        <x:v>Día 6</x:v>
      </x:c>
      <x:c r="N5" s="14" t="str">
        <x:v>Día 7</x:v>
      </x:c>
      <x:c r="O5" s="14" t="str">
        <x:v>Día 8</x:v>
      </x:c>
      <x:c r="P5" s="14" t="str">
        <x:v>Día 9</x:v>
      </x:c>
      <x:c r="Q5" s="14" t="str">
        <x:v>Día 10</x:v>
      </x:c>
      <x:c r="R5" s="14" t="str">
        <x:v>Consumido</x:v>
      </x:c>
      <x:c r="S5" s="14" t="str">
        <x:v>Restante</x:v>
      </x:c>
      <x:c r="T5" s="14" t="str">
        <x:v>Desviación</x:v>
      </x:c>
    </x:row>
    <x:row r="6">
      <x:c r="A6" s="18" t="str">
        <x:v>ALZ-TAR-001</x:v>
      </x:c>
      <x:c r="B6" s="18" t="str">
        <x:v>ALZ-HU-001</x:v>
      </x:c>
      <x:c r="C6" s="18" t="str">
        <x:v>Base Next.js y NestJS</x:v>
      </x:c>
      <x:c r="D6" s="18" t="str">
        <x:v>Configurar Next.js App Router/React 19/TypeScript 5.x y NestJS 12/Node.js 24 sin crear una API de dominio paralela.</x:v>
      </x:c>
      <x:c r="E6" s="18" t="str">
        <x:v>Marcelo Núñez</x:v>
      </x:c>
      <x:c r="F6" s="18" t="str">
        <x:v>Planificado</x:v>
      </x:c>
      <x:c r="G6" s="19" t="n">
        <x:v>4</x:v>
      </x:c>
      <x:c r="H6" s="19" t="n">
        <x:v>0</x:v>
      </x:c>
      <x:c r="I6" s="19" t="n">
        <x:v>0</x:v>
      </x:c>
      <x:c r="J6" s="19" t="n">
        <x:v>0</x:v>
      </x:c>
      <x:c r="K6" s="19" t="n">
        <x:v>0</x:v>
      </x:c>
      <x:c r="L6" s="19" t="n">
        <x:v>0</x:v>
      </x:c>
      <x:c r="M6" s="19" t="n">
        <x:v>0</x:v>
      </x:c>
      <x:c r="N6" s="19" t="n">
        <x:v>0</x:v>
      </x:c>
      <x:c r="O6" s="19" t="n">
        <x:v>0</x:v>
      </x:c>
      <x:c r="P6" s="19" t="n">
        <x:v>0</x:v>
      </x:c>
      <x:c r="Q6" s="19" t="n">
        <x:v>0</x:v>
      </x:c>
      <x:c r="R6" s="19" t="n">
        <x:f>SUM(H6:Q6)</x:f>
        <x:v>0</x:v>
      </x:c>
      <x:c r="S6" s="19" t="n">
        <x:f>MAX(0,G6-R6)</x:f>
        <x:v>4</x:v>
      </x:c>
      <x:c r="T6" s="19" t="n">
        <x:f>R6+S6-G6</x:f>
        <x:v>0</x:v>
      </x:c>
    </x:row>
    <x:row r="7">
      <x:c r="A7" s="18" t="str">
        <x:v>ALZ-TAR-002</x:v>
      </x:c>
      <x:c r="B7" s="18" t="str">
        <x:v>ALZ-HU-001</x:v>
      </x:c>
      <x:c r="C7" s="18" t="str">
        <x:v>GitHub Actions y preview Vercel</x:v>
      </x:c>
      <x:c r="D7" s="18" t="str">
        <x:v>Configurar lint, pruebas, build y preview de Vercel para cada pull request, con versiones y secretos controlados.</x:v>
      </x:c>
      <x:c r="E7" s="18" t="str">
        <x:v>Abraham Retamal</x:v>
      </x:c>
      <x:c r="F7" s="18" t="str">
        <x:v>Planificado</x:v>
      </x:c>
      <x:c r="G7" s="19" t="n">
        <x:v>4</x:v>
      </x:c>
      <x:c r="H7" s="19" t="n">
        <x:v>0</x:v>
      </x:c>
      <x:c r="I7" s="19" t="n">
        <x:v>0</x:v>
      </x:c>
      <x:c r="J7" s="19" t="n">
        <x:v>0</x:v>
      </x:c>
      <x:c r="K7" s="19" t="n">
        <x:v>0</x:v>
      </x:c>
      <x:c r="L7" s="19" t="n">
        <x:v>0</x:v>
      </x:c>
      <x:c r="M7" s="19" t="n">
        <x:v>0</x:v>
      </x:c>
      <x:c r="N7" s="19" t="n">
        <x:v>0</x:v>
      </x:c>
      <x:c r="O7" s="19" t="n">
        <x:v>0</x:v>
      </x:c>
      <x:c r="P7" s="19" t="n">
        <x:v>0</x:v>
      </x:c>
      <x:c r="Q7" s="19" t="n">
        <x:v>0</x:v>
      </x:c>
      <x:c r="R7" s="19" t="n">
        <x:f>SUM(H7:Q7)</x:f>
        <x:v>0</x:v>
      </x:c>
      <x:c r="S7" s="19" t="n">
        <x:f>MAX(0,G7-R7)</x:f>
        <x:v>4</x:v>
      </x:c>
      <x:c r="T7" s="19" t="n">
        <x:f>R7+S7-G7</x:f>
        <x:v>0</x:v>
      </x:c>
    </x:row>
    <x:row r="8">
      <x:c r="A8" s="18" t="str">
        <x:v>ALZ-TAR-003</x:v>
      </x:c>
      <x:c r="B8" s="18" t="str">
        <x:v>ALZ-HU-001</x:v>
      </x:c>
      <x:c r="C8" s="18" t="str">
        <x:v>Supabase local y migraciones</x:v>
      </x:c>
      <x:c r="D8" s="18" t="str">
        <x:v>Preparar Supabase CLI, PostgreSQL/pgvector, migraciones y Docker Compose para el entorno local reproducible.</x:v>
      </x:c>
      <x:c r="E8" s="18" t="str">
        <x:v>Abraham Retamal</x:v>
      </x:c>
      <x:c r="F8" s="18" t="str">
        <x:v>Planificado</x:v>
      </x:c>
      <x:c r="G8" s="19" t="n">
        <x:v>4</x:v>
      </x:c>
      <x:c r="H8" s="19" t="n">
        <x:v>0</x:v>
      </x:c>
      <x:c r="I8" s="19" t="n">
        <x:v>0</x:v>
      </x:c>
      <x:c r="J8" s="19" t="n">
        <x:v>0</x:v>
      </x:c>
      <x:c r="K8" s="19" t="n">
        <x:v>0</x:v>
      </x:c>
      <x:c r="L8" s="19" t="n">
        <x:v>0</x:v>
      </x:c>
      <x:c r="M8" s="19" t="n">
        <x:v>0</x:v>
      </x:c>
      <x:c r="N8" s="19" t="n">
        <x:v>0</x:v>
      </x:c>
      <x:c r="O8" s="19" t="n">
        <x:v>0</x:v>
      </x:c>
      <x:c r="P8" s="19" t="n">
        <x:v>0</x:v>
      </x:c>
      <x:c r="Q8" s="19" t="n">
        <x:v>0</x:v>
      </x:c>
      <x:c r="R8" s="19" t="n">
        <x:f>SUM(H8:Q8)</x:f>
        <x:v>0</x:v>
      </x:c>
      <x:c r="S8" s="19" t="n">
        <x:f>MAX(0,G8-R8)</x:f>
        <x:v>4</x:v>
      </x:c>
      <x:c r="T8" s="19" t="n">
        <x:f>R8+S8-G8</x:f>
        <x:v>0</x:v>
      </x:c>
    </x:row>
    <x:row r="9">
      <x:c r="A9" s="18" t="str">
        <x:v>ALZ-TAR-004</x:v>
      </x:c>
      <x:c r="B9" s="18" t="str">
        <x:v>ALZ-HU-020; ALZ-HU-021</x:v>
      </x:c>
      <x:c r="C9" s="18" t="str">
        <x:v>Modelo y migraciones multi-organización</x:v>
      </x:c>
      <x:c r="D9" s="18" t="str">
        <x:v>Definir organizaciones, usuarios, membresías, roles y aislamiento.</x:v>
      </x:c>
      <x:c r="E9" s="18" t="str">
        <x:v>Marcelo Núñez</x:v>
      </x:c>
      <x:c r="F9" s="18" t="str">
        <x:v>Planificado</x:v>
      </x:c>
      <x:c r="G9" s="19" t="n">
        <x:v>6</x:v>
      </x:c>
      <x:c r="H9" s="19" t="n">
        <x:v>0</x:v>
      </x:c>
      <x:c r="I9" s="19" t="n">
        <x:v>0</x:v>
      </x:c>
      <x:c r="J9" s="19" t="n">
        <x:v>0</x:v>
      </x:c>
      <x:c r="K9" s="19" t="n">
        <x:v>0</x:v>
      </x:c>
      <x:c r="L9" s="19" t="n">
        <x:v>0</x:v>
      </x:c>
      <x:c r="M9" s="19" t="n">
        <x:v>0</x:v>
      </x:c>
      <x:c r="N9" s="19" t="n">
        <x:v>0</x:v>
      </x:c>
      <x:c r="O9" s="19" t="n">
        <x:v>0</x:v>
      </x:c>
      <x:c r="P9" s="19" t="n">
        <x:v>0</x:v>
      </x:c>
      <x:c r="Q9" s="19" t="n">
        <x:v>0</x:v>
      </x:c>
      <x:c r="R9" s="19" t="n">
        <x:f>SUM(H9:Q9)</x:f>
        <x:v>0</x:v>
      </x:c>
      <x:c r="S9" s="19" t="n">
        <x:f>MAX(0,G9-R9)</x:f>
        <x:v>6</x:v>
      </x:c>
      <x:c r="T9" s="19" t="n">
        <x:f>R9+S9-G9</x:f>
        <x:v>0</x:v>
      </x:c>
    </x:row>
    <x:row r="10">
      <x:c r="A10" s="18" t="str">
        <x:v>ALZ-TAR-005</x:v>
      </x:c>
      <x:c r="B10" s="18" t="str">
        <x:v>ALZ-HU-001; ALZ-HU-021</x:v>
      </x:c>
      <x:c r="C10" s="18" t="str">
        <x:v>Supabase Auth y JWT</x:v>
      </x:c>
      <x:c r="D10" s="18" t="str">
        <x:v>Implementar acceso con Supabase Auth; NestJS valida el JWT y mantiene estados INVITED/ACTIVE/DISABLED.</x:v>
      </x:c>
      <x:c r="E10" s="18" t="str">
        <x:v>Marcelo Núñez</x:v>
      </x:c>
      <x:c r="F10" s="18" t="str">
        <x:v>Planificado</x:v>
      </x:c>
      <x:c r="G10" s="19" t="n">
        <x:v>6</x:v>
      </x:c>
      <x:c r="H10" s="19" t="n">
        <x:v>0</x:v>
      </x:c>
      <x:c r="I10" s="19" t="n">
        <x:v>0</x:v>
      </x:c>
      <x:c r="J10" s="19" t="n">
        <x:v>0</x:v>
      </x:c>
      <x:c r="K10" s="19" t="n">
        <x:v>0</x:v>
      </x:c>
      <x:c r="L10" s="19" t="n">
        <x:v>0</x:v>
      </x:c>
      <x:c r="M10" s="19" t="n">
        <x:v>0</x:v>
      </x:c>
      <x:c r="N10" s="19" t="n">
        <x:v>0</x:v>
      </x:c>
      <x:c r="O10" s="19" t="n">
        <x:v>0</x:v>
      </x:c>
      <x:c r="P10" s="19" t="n">
        <x:v>0</x:v>
      </x:c>
      <x:c r="Q10" s="19" t="n">
        <x:v>0</x:v>
      </x:c>
      <x:c r="R10" s="19" t="n">
        <x:f>SUM(H10:Q10)</x:f>
        <x:v>0</x:v>
      </x:c>
      <x:c r="S10" s="19" t="n">
        <x:f>MAX(0,G10-R10)</x:f>
        <x:v>6</x:v>
      </x:c>
      <x:c r="T10" s="19" t="n">
        <x:f>R10+S10-G10</x:f>
        <x:v>0</x:v>
      </x:c>
    </x:row>
    <x:row r="11">
      <x:c r="A11" s="18" t="str">
        <x:v>ALZ-TAR-006</x:v>
      </x:c>
      <x:c r="B11" s="18" t="str">
        <x:v>ALZ-HU-001; ALZ-HU-020; ALZ-HU-021</x:v>
      </x:c>
      <x:c r="C11" s="18" t="str">
        <x:v>Guardas NestJS y RLS</x:v>
      </x:c>
      <x:c r="D11" s="18" t="str">
        <x:v>Aplicar autorización por rol, organización y clase en NestJS, junto con RLS en tablas y Storage expuestos.</x:v>
      </x:c>
      <x:c r="E11" s="18" t="str">
        <x:v>Abraham Retamal</x:v>
      </x:c>
      <x:c r="F11" s="18" t="str">
        <x:v>Planificado</x:v>
      </x:c>
      <x:c r="G11" s="19" t="n">
        <x:v>5</x:v>
      </x:c>
      <x:c r="H11" s="19" t="n">
        <x:v>0</x:v>
      </x:c>
      <x:c r="I11" s="19" t="n">
        <x:v>0</x:v>
      </x:c>
      <x:c r="J11" s="19" t="n">
        <x:v>0</x:v>
      </x:c>
      <x:c r="K11" s="19" t="n">
        <x:v>0</x:v>
      </x:c>
      <x:c r="L11" s="19" t="n">
        <x:v>0</x:v>
      </x:c>
      <x:c r="M11" s="19" t="n">
        <x:v>0</x:v>
      </x:c>
      <x:c r="N11" s="19" t="n">
        <x:v>0</x:v>
      </x:c>
      <x:c r="O11" s="19" t="n">
        <x:v>0</x:v>
      </x:c>
      <x:c r="P11" s="19" t="n">
        <x:v>0</x:v>
      </x:c>
      <x:c r="Q11" s="19" t="n">
        <x:v>0</x:v>
      </x:c>
      <x:c r="R11" s="19" t="n">
        <x:f>SUM(H11:Q11)</x:f>
        <x:v>0</x:v>
      </x:c>
      <x:c r="S11" s="19" t="n">
        <x:f>MAX(0,G11-R11)</x:f>
        <x:v>5</x:v>
      </x:c>
      <x:c r="T11" s="19" t="n">
        <x:f>R11+S11-G11</x:f>
        <x:v>0</x:v>
      </x:c>
    </x:row>
    <x:row r="12">
      <x:c r="A12" s="18" t="str">
        <x:v>ALZ-TAR-007</x:v>
      </x:c>
      <x:c r="B12" s="18" t="str">
        <x:v>ALZ-HU-001</x:v>
      </x:c>
      <x:c r="C12" s="18" t="str">
        <x:v>Login y navegación por rol</x:v>
      </x:c>
      <x:c r="D12" s="18" t="str">
        <x:v>Construir acceso y rutas iniciales por perfil.</x:v>
      </x:c>
      <x:c r="E12" s="18" t="str">
        <x:v>Benjamin Pérez</x:v>
      </x:c>
      <x:c r="F12" s="18" t="str">
        <x:v>Planificado</x:v>
      </x:c>
      <x:c r="G12" s="19" t="n">
        <x:v>5</x:v>
      </x:c>
      <x:c r="H12" s="19" t="n">
        <x:v>0</x:v>
      </x:c>
      <x:c r="I12" s="19" t="n">
        <x:v>0</x:v>
      </x:c>
      <x:c r="J12" s="19" t="n">
        <x:v>0</x:v>
      </x:c>
      <x:c r="K12" s="19" t="n">
        <x:v>0</x:v>
      </x:c>
      <x:c r="L12" s="19" t="n">
        <x:v>0</x:v>
      </x:c>
      <x:c r="M12" s="19" t="n">
        <x:v>0</x:v>
      </x:c>
      <x:c r="N12" s="19" t="n">
        <x:v>0</x:v>
      </x:c>
      <x:c r="O12" s="19" t="n">
        <x:v>0</x:v>
      </x:c>
      <x:c r="P12" s="19" t="n">
        <x:v>0</x:v>
      </x:c>
      <x:c r="Q12" s="19" t="n">
        <x:v>0</x:v>
      </x:c>
      <x:c r="R12" s="19" t="n">
        <x:f>SUM(H12:Q12)</x:f>
        <x:v>0</x:v>
      </x:c>
      <x:c r="S12" s="19" t="n">
        <x:f>MAX(0,G12-R12)</x:f>
        <x:v>5</x:v>
      </x:c>
      <x:c r="T12" s="19" t="n">
        <x:f>R12+S12-G12</x:f>
        <x:v>0</x:v>
      </x:c>
    </x:row>
    <x:row r="13">
      <x:c r="A13" s="18" t="str">
        <x:v>ALZ-TAR-008</x:v>
      </x:c>
      <x:c r="B13" s="18" t="str">
        <x:v>ALZ-HU-020</x:v>
      </x:c>
      <x:c r="C13" s="18" t="str">
        <x:v>Gestión inicial de organizaciones</x:v>
      </x:c>
      <x:c r="D13" s="18" t="str">
        <x:v>Construir vista administrativa de organizaciones.</x:v>
      </x:c>
      <x:c r="E13" s="18" t="str">
        <x:v>Benjamin Pérez</x:v>
      </x:c>
      <x:c r="F13" s="18" t="str">
        <x:v>Planificado</x:v>
      </x:c>
      <x:c r="G13" s="19" t="n">
        <x:v>5</x:v>
      </x:c>
      <x:c r="H13" s="19" t="n">
        <x:v>0</x:v>
      </x:c>
      <x:c r="I13" s="19" t="n">
        <x:v>0</x:v>
      </x:c>
      <x:c r="J13" s="19" t="n">
        <x:v>0</x:v>
      </x:c>
      <x:c r="K13" s="19" t="n">
        <x:v>0</x:v>
      </x:c>
      <x:c r="L13" s="19" t="n">
        <x:v>0</x:v>
      </x:c>
      <x:c r="M13" s="19" t="n">
        <x:v>0</x:v>
      </x:c>
      <x:c r="N13" s="19" t="n">
        <x:v>0</x:v>
      </x:c>
      <x:c r="O13" s="19" t="n">
        <x:v>0</x:v>
      </x:c>
      <x:c r="P13" s="19" t="n">
        <x:v>0</x:v>
      </x:c>
      <x:c r="Q13" s="19" t="n">
        <x:v>0</x:v>
      </x:c>
      <x:c r="R13" s="19" t="n">
        <x:f>SUM(H13:Q13)</x:f>
        <x:v>0</x:v>
      </x:c>
      <x:c r="S13" s="19" t="n">
        <x:f>MAX(0,G13-R13)</x:f>
        <x:v>5</x:v>
      </x:c>
      <x:c r="T13" s="19" t="n">
        <x:f>R13+S13-G13</x:f>
        <x:v>0</x:v>
      </x:c>
    </x:row>
    <x:row r="14">
      <x:c r="A14" s="18" t="str">
        <x:v>ALZ-TAR-009</x:v>
      </x:c>
      <x:c r="B14" s="18" t="str">
        <x:v>ALZ-HU-021</x:v>
      </x:c>
      <x:c r="C14" s="18" t="str">
        <x:v>Gestión de usuarios y roles</x:v>
      </x:c>
      <x:c r="D14" s="18" t="str">
        <x:v>Implementar invitación, activación, deshabilitación y roles.</x:v>
      </x:c>
      <x:c r="E14" s="18" t="str">
        <x:v>Marcelo Núñez</x:v>
      </x:c>
      <x:c r="F14" s="18" t="str">
        <x:v>Planificado</x:v>
      </x:c>
      <x:c r="G14" s="19" t="n">
        <x:v>5</x:v>
      </x:c>
      <x:c r="H14" s="19" t="n">
        <x:v>0</x:v>
      </x:c>
      <x:c r="I14" s="19" t="n">
        <x:v>0</x:v>
      </x:c>
      <x:c r="J14" s="19" t="n">
        <x:v>0</x:v>
      </x:c>
      <x:c r="K14" s="19" t="n">
        <x:v>0</x:v>
      </x:c>
      <x:c r="L14" s="19" t="n">
        <x:v>0</x:v>
      </x:c>
      <x:c r="M14" s="19" t="n">
        <x:v>0</x:v>
      </x:c>
      <x:c r="N14" s="19" t="n">
        <x:v>0</x:v>
      </x:c>
      <x:c r="O14" s="19" t="n">
        <x:v>0</x:v>
      </x:c>
      <x:c r="P14" s="19" t="n">
        <x:v>0</x:v>
      </x:c>
      <x:c r="Q14" s="19" t="n">
        <x:v>0</x:v>
      </x:c>
      <x:c r="R14" s="19" t="n">
        <x:f>SUM(H14:Q14)</x:f>
        <x:v>0</x:v>
      </x:c>
      <x:c r="S14" s="19" t="n">
        <x:f>MAX(0,G14-R14)</x:f>
        <x:v>5</x:v>
      </x:c>
      <x:c r="T14" s="19" t="n">
        <x:f>R14+S14-G14</x:f>
        <x:v>0</x:v>
      </x:c>
    </x:row>
    <x:row r="15">
      <x:c r="A15" s="18" t="str">
        <x:v>ALZ-TAR-010</x:v>
      </x:c>
      <x:c r="B15" s="18" t="str">
        <x:v>ALZ-HU-002</x:v>
      </x:c>
      <x:c r="C15" s="18" t="str">
        <x:v>Creación/configuración de clases</x:v>
      </x:c>
      <x:c r="D15" s="18" t="str">
        <x:v>Construir flujo inicial de clase dentro de una organización.</x:v>
      </x:c>
      <x:c r="E15" s="18" t="str">
        <x:v>Benjamin Pérez</x:v>
      </x:c>
      <x:c r="F15" s="18" t="str">
        <x:v>Planificado</x:v>
      </x:c>
      <x:c r="G15" s="19" t="n">
        <x:v>5</x:v>
      </x:c>
      <x:c r="H15" s="19" t="n">
        <x:v>0</x:v>
      </x:c>
      <x:c r="I15" s="19" t="n">
        <x:v>0</x:v>
      </x:c>
      <x:c r="J15" s="19" t="n">
        <x:v>0</x:v>
      </x:c>
      <x:c r="K15" s="19" t="n">
        <x:v>0</x:v>
      </x:c>
      <x:c r="L15" s="19" t="n">
        <x:v>0</x:v>
      </x:c>
      <x:c r="M15" s="19" t="n">
        <x:v>0</x:v>
      </x:c>
      <x:c r="N15" s="19" t="n">
        <x:v>0</x:v>
      </x:c>
      <x:c r="O15" s="19" t="n">
        <x:v>0</x:v>
      </x:c>
      <x:c r="P15" s="19" t="n">
        <x:v>0</x:v>
      </x:c>
      <x:c r="Q15" s="19" t="n">
        <x:v>0</x:v>
      </x:c>
      <x:c r="R15" s="19" t="n">
        <x:f>SUM(H15:Q15)</x:f>
        <x:v>0</x:v>
      </x:c>
      <x:c r="S15" s="19" t="n">
        <x:f>MAX(0,G15-R15)</x:f>
        <x:v>5</x:v>
      </x:c>
      <x:c r="T15" s="19" t="n">
        <x:f>R15+S15-G15</x:f>
        <x:v>0</x:v>
      </x:c>
    </x:row>
    <x:row r="16">
      <x:c r="A16" s="18" t="str">
        <x:v>ALZ-TAR-011</x:v>
      </x:c>
      <x:c r="B16" s="18" t="str">
        <x:v>ALZ-HU-003</x:v>
      </x:c>
      <x:c r="C16" s="18" t="str">
        <x:v>Inscripción con código vigente</x:v>
      </x:c>
      <x:c r="D16" s="18" t="str">
        <x:v>Implementar alta idempotente mediante código.</x:v>
      </x:c>
      <x:c r="E16" s="18" t="str">
        <x:v>Benjamin Pérez</x:v>
      </x:c>
      <x:c r="F16" s="18" t="str">
        <x:v>Planificado</x:v>
      </x:c>
      <x:c r="G16" s="19" t="n">
        <x:v>4</x:v>
      </x:c>
      <x:c r="H16" s="19" t="n">
        <x:v>0</x:v>
      </x:c>
      <x:c r="I16" s="19" t="n">
        <x:v>0</x:v>
      </x:c>
      <x:c r="J16" s="19" t="n">
        <x:v>0</x:v>
      </x:c>
      <x:c r="K16" s="19" t="n">
        <x:v>0</x:v>
      </x:c>
      <x:c r="L16" s="19" t="n">
        <x:v>0</x:v>
      </x:c>
      <x:c r="M16" s="19" t="n">
        <x:v>0</x:v>
      </x:c>
      <x:c r="N16" s="19" t="n">
        <x:v>0</x:v>
      </x:c>
      <x:c r="O16" s="19" t="n">
        <x:v>0</x:v>
      </x:c>
      <x:c r="P16" s="19" t="n">
        <x:v>0</x:v>
      </x:c>
      <x:c r="Q16" s="19" t="n">
        <x:v>0</x:v>
      </x:c>
      <x:c r="R16" s="19" t="n">
        <x:f>SUM(H16:Q16)</x:f>
        <x:v>0</x:v>
      </x:c>
      <x:c r="S16" s="19" t="n">
        <x:f>MAX(0,G16-R16)</x:f>
        <x:v>4</x:v>
      </x:c>
      <x:c r="T16" s="19" t="n">
        <x:f>R16+S16-G16</x:f>
        <x:v>0</x:v>
      </x:c>
    </x:row>
    <x:row r="17">
      <x:c r="A17" s="18" t="str">
        <x:v>ALZ-TAR-012</x:v>
      </x:c>
      <x:c r="B17" s="18" t="str">
        <x:v>ALZ-HU-001; ALZ-HU-020; ALZ-HU-021</x:v>
      </x:c>
      <x:c r="C17" s="18" t="str">
        <x:v>Pruebas RLS, secretos y Sandbox</x:v>
      </x:c>
      <x:c r="D17" s="18" t="str">
        <x:v>Definir y ejecutar controles de RLS, service_role solo servidor, secretos, despliegue híbrido y validación adversarial de Vercel Sandbox.</x:v>
      </x:c>
      <x:c r="E17" s="18" t="str">
        <x:v>Abraham Retamal</x:v>
      </x:c>
      <x:c r="F17" s="18" t="str">
        <x:v>Planificado</x:v>
      </x:c>
      <x:c r="G17" s="19" t="n">
        <x:v>7</x:v>
      </x:c>
      <x:c r="H17" s="19" t="n">
        <x:v>0</x:v>
      </x:c>
      <x:c r="I17" s="19" t="n">
        <x:v>0</x:v>
      </x:c>
      <x:c r="J17" s="19" t="n">
        <x:v>0</x:v>
      </x:c>
      <x:c r="K17" s="19" t="n">
        <x:v>0</x:v>
      </x:c>
      <x:c r="L17" s="19" t="n">
        <x:v>0</x:v>
      </x:c>
      <x:c r="M17" s="19" t="n">
        <x:v>0</x:v>
      </x:c>
      <x:c r="N17" s="19" t="n">
        <x:v>0</x:v>
      </x:c>
      <x:c r="O17" s="19" t="n">
        <x:v>0</x:v>
      </x:c>
      <x:c r="P17" s="19" t="n">
        <x:v>0</x:v>
      </x:c>
      <x:c r="Q17" s="19" t="n">
        <x:v>0</x:v>
      </x:c>
      <x:c r="R17" s="19" t="n">
        <x:f>SUM(H17:Q17)</x:f>
        <x:v>0</x:v>
      </x:c>
      <x:c r="S17" s="19" t="n">
        <x:f>MAX(0,G17-R17)</x:f>
        <x:v>7</x:v>
      </x:c>
      <x:c r="T17" s="19" t="n">
        <x:f>R17+S17-G17</x:f>
        <x:v>0</x:v>
      </x:c>
    </x:row>
    <x:row r="19">
      <x:c r="F19" s="26" t="str">
        <x:v>Totales</x:v>
      </x:c>
      <x:c r="G19" s="26" t="n">
        <x:f>SUM(G6:G17)</x:f>
        <x:v>60</x:v>
      </x:c>
      <x:c r="H19" s="26" t="n">
        <x:f>SUM(H6:H17)</x:f>
        <x:v>0</x:v>
      </x:c>
      <x:c r="I19" s="26" t="n">
        <x:f>SUM(I6:I17)</x:f>
        <x:v>0</x:v>
      </x:c>
      <x:c r="J19" s="26" t="n">
        <x:f>SUM(J6:J17)</x:f>
        <x:v>0</x:v>
      </x:c>
      <x:c r="K19" s="26" t="n">
        <x:f>SUM(K6:K17)</x:f>
        <x:v>0</x:v>
      </x:c>
      <x:c r="L19" s="26" t="n">
        <x:f>SUM(L6:L17)</x:f>
        <x:v>0</x:v>
      </x:c>
      <x:c r="M19" s="26" t="n">
        <x:f>SUM(M6:M17)</x:f>
        <x:v>0</x:v>
      </x:c>
      <x:c r="N19" s="26" t="n">
        <x:f>SUM(N6:N17)</x:f>
        <x:v>0</x:v>
      </x:c>
      <x:c r="O19" s="26" t="n">
        <x:f>SUM(O6:O17)</x:f>
        <x:v>0</x:v>
      </x:c>
      <x:c r="P19" s="26" t="n">
        <x:f>SUM(P6:P17)</x:f>
        <x:v>0</x:v>
      </x:c>
      <x:c r="Q19" s="26" t="n">
        <x:f>SUM(Q6:Q17)</x:f>
        <x:v>0</x:v>
      </x:c>
      <x:c r="R19" s="26" t="n">
        <x:f>SUM(R6:R17)</x:f>
        <x:v>0</x:v>
      </x:c>
      <x:c r="S19" s="26" t="n">
        <x:f>SUM(S6:S17)</x:f>
        <x:v>60</x:v>
      </x:c>
      <x:c r="T19" s="26" t="n">
        <x:f>SUM(T6:T17)</x:f>
        <x:v>0</x:v>
      </x:c>
    </x:row>
    <x:row r="21" ht="32" customHeight="1">
      <x:c r="A21" s="23" t="str">
        <x:v>Todos los consumos diarios son entradas editables inicializadas en cero. El archivo representa planificación de S2; no acredita ejecución al cierre de Fase 1.</x:v>
      </x:c>
      <x:c r="B21" s="23" t="str">
        <x:v>Todos los consumos diarios son entradas editables inicializadas en cero. El archivo representa planificación de S2; no acredita ejecución al cierre de Fase 1.</x:v>
      </x:c>
      <x:c r="C21" s="23" t="str">
        <x:v>Todos los consumos diarios son entradas editables inicializadas en cero. El archivo representa planificación de S2; no acredita ejecución al cierre de Fase 1.</x:v>
      </x:c>
      <x:c r="D21" s="23" t="str">
        <x:v>Todos los consumos diarios son entradas editables inicializadas en cero. El archivo representa planificación de S2; no acredita ejecución al cierre de Fase 1.</x:v>
      </x:c>
      <x:c r="E21" s="23" t="str">
        <x:v>Todos los consumos diarios son entradas editables inicializadas en cero. El archivo representa planificación de S2; no acredita ejecución al cierre de Fase 1.</x:v>
      </x:c>
      <x:c r="F21" s="23" t="str">
        <x:v>Todos los consumos diarios son entradas editables inicializadas en cero. El archivo representa planificación de S2; no acredita ejecución al cierre de Fase 1.</x:v>
      </x:c>
      <x:c r="G21" s="23" t="str">
        <x:v>Todos los consumos diarios son entradas editables inicializadas en cero. El archivo representa planificación de S2; no acredita ejecución al cierre de Fase 1.</x:v>
      </x:c>
      <x:c r="H21" s="23" t="str">
        <x:v>Todos los consumos diarios son entradas editables inicializadas en cero. El archivo representa planificación de S2; no acredita ejecución al cierre de Fase 1.</x:v>
      </x:c>
      <x:c r="I21" s="23" t="str">
        <x:v>Todos los consumos diarios son entradas editables inicializadas en cero. El archivo representa planificación de S2; no acredita ejecución al cierre de Fase 1.</x:v>
      </x:c>
      <x:c r="J21" s="23" t="str">
        <x:v>Todos los consumos diarios son entradas editables inicializadas en cero. El archivo representa planificación de S2; no acredita ejecución al cierre de Fase 1.</x:v>
      </x:c>
      <x:c r="K21" s="23" t="str">
        <x:v>Todos los consumos diarios son entradas editables inicializadas en cero. El archivo representa planificación de S2; no acredita ejecución al cierre de Fase 1.</x:v>
      </x:c>
      <x:c r="L21" s="23" t="str">
        <x:v>Todos los consumos diarios son entradas editables inicializadas en cero. El archivo representa planificación de S2; no acredita ejecución al cierre de Fase 1.</x:v>
      </x:c>
      <x:c r="M21" s="23" t="str">
        <x:v>Todos los consumos diarios son entradas editables inicializadas en cero. El archivo representa planificación de S2; no acredita ejecución al cierre de Fase 1.</x:v>
      </x:c>
      <x:c r="N21" s="23" t="str">
        <x:v>Todos los consumos diarios son entradas editables inicializadas en cero. El archivo representa planificación de S2; no acredita ejecución al cierre de Fase 1.</x:v>
      </x:c>
      <x:c r="O21" s="23" t="str">
        <x:v>Todos los consumos diarios son entradas editables inicializadas en cero. El archivo representa planificación de S2; no acredita ejecución al cierre de Fase 1.</x:v>
      </x:c>
      <x:c r="P21" s="23" t="str">
        <x:v>Todos los consumos diarios son entradas editables inicializadas en cero. El archivo representa planificación de S2; no acredita ejecución al cierre de Fase 1.</x:v>
      </x:c>
      <x:c r="Q21" s="23" t="str">
        <x:v>Todos los consumos diarios son entradas editables inicializadas en cero. El archivo representa planificación de S2; no acredita ejecución al cierre de Fase 1.</x:v>
      </x:c>
      <x:c r="R21" s="23" t="str">
        <x:v>Todos los consumos diarios son entradas editables inicializadas en cero. El archivo representa planificación de S2; no acredita ejecución al cierre de Fase 1.</x:v>
      </x:c>
      <x:c r="S21" s="23" t="str">
        <x:v>Todos los consumos diarios son entradas editables inicializadas en cero. El archivo representa planificación de S2; no acredita ejecución al cierre de Fase 1.</x:v>
      </x:c>
      <x:c r="T21" s="23" t="str">
        <x:v>Todos los consumos diarios son entradas editables inicializadas en cero. El archivo representa planificación de S2; no acredita ejecución al cierre de Fase 1.</x:v>
      </x:c>
    </x:row>
    <x:row r="22" ht="32" customHeight="1">
      <x:c r="A22" s="23" t="str">
        <x:v>Todos los consumos diarios son entradas editables inicializadas en cero. El archivo representa planificación de S2; no acredita ejecución al cierre de Fase 1.</x:v>
      </x:c>
      <x:c r="B22" s="23" t="str">
        <x:v>Todos los consumos diarios son entradas editables inicializadas en cero. El archivo representa planificación de S2; no acredita ejecución al cierre de Fase 1.</x:v>
      </x:c>
      <x:c r="C22" s="23" t="str">
        <x:v>Todos los consumos diarios son entradas editables inicializadas en cero. El archivo representa planificación de S2; no acredita ejecución al cierre de Fase 1.</x:v>
      </x:c>
      <x:c r="D22" s="23" t="str">
        <x:v>Todos los consumos diarios son entradas editables inicializadas en cero. El archivo representa planificación de S2; no acredita ejecución al cierre de Fase 1.</x:v>
      </x:c>
      <x:c r="E22" s="23" t="str">
        <x:v>Todos los consumos diarios son entradas editables inicializadas en cero. El archivo representa planificación de S2; no acredita ejecución al cierre de Fase 1.</x:v>
      </x:c>
      <x:c r="F22" s="23" t="str">
        <x:v>Todos los consumos diarios son entradas editables inicializadas en cero. El archivo representa planificación de S2; no acredita ejecución al cierre de Fase 1.</x:v>
      </x:c>
      <x:c r="G22" s="23" t="str">
        <x:v>Todos los consumos diarios son entradas editables inicializadas en cero. El archivo representa planificación de S2; no acredita ejecución al cierre de Fase 1.</x:v>
      </x:c>
      <x:c r="H22" s="23" t="str">
        <x:v>Todos los consumos diarios son entradas editables inicializadas en cero. El archivo representa planificación de S2; no acredita ejecución al cierre de Fase 1.</x:v>
      </x:c>
      <x:c r="I22" s="23" t="str">
        <x:v>Todos los consumos diarios son entradas editables inicializadas en cero. El archivo representa planificación de S2; no acredita ejecución al cierre de Fase 1.</x:v>
      </x:c>
      <x:c r="J22" s="23" t="str">
        <x:v>Todos los consumos diarios son entradas editables inicializadas en cero. El archivo representa planificación de S2; no acredita ejecución al cierre de Fase 1.</x:v>
      </x:c>
      <x:c r="K22" s="23" t="str">
        <x:v>Todos los consumos diarios son entradas editables inicializadas en cero. El archivo representa planificación de S2; no acredita ejecución al cierre de Fase 1.</x:v>
      </x:c>
      <x:c r="L22" s="23" t="str">
        <x:v>Todos los consumos diarios son entradas editables inicializadas en cero. El archivo representa planificación de S2; no acredita ejecución al cierre de Fase 1.</x:v>
      </x:c>
      <x:c r="M22" s="23" t="str">
        <x:v>Todos los consumos diarios son entradas editables inicializadas en cero. El archivo representa planificación de S2; no acredita ejecución al cierre de Fase 1.</x:v>
      </x:c>
      <x:c r="N22" s="23" t="str">
        <x:v>Todos los consumos diarios son entradas editables inicializadas en cero. El archivo representa planificación de S2; no acredita ejecución al cierre de Fase 1.</x:v>
      </x:c>
      <x:c r="O22" s="23" t="str">
        <x:v>Todos los consumos diarios son entradas editables inicializadas en cero. El archivo representa planificación de S2; no acredita ejecución al cierre de Fase 1.</x:v>
      </x:c>
      <x:c r="P22" s="23" t="str">
        <x:v>Todos los consumos diarios son entradas editables inicializadas en cero. El archivo representa planificación de S2; no acredita ejecución al cierre de Fase 1.</x:v>
      </x:c>
      <x:c r="Q22" s="23" t="str">
        <x:v>Todos los consumos diarios son entradas editables inicializadas en cero. El archivo representa planificación de S2; no acredita ejecución al cierre de Fase 1.</x:v>
      </x:c>
      <x:c r="R22" s="23" t="str">
        <x:v>Todos los consumos diarios son entradas editables inicializadas en cero. El archivo representa planificación de S2; no acredita ejecución al cierre de Fase 1.</x:v>
      </x:c>
      <x:c r="S22" s="23" t="str">
        <x:v>Todos los consumos diarios son entradas editables inicializadas en cero. El archivo representa planificación de S2; no acredita ejecución al cierre de Fase 1.</x:v>
      </x:c>
      <x:c r="T22" s="23" t="str">
        <x:v>Todos los consumos diarios son entradas editables inicializadas en cero. El archivo representa planificación de S2; no acredita ejecución al cierre de Fase 1.</x:v>
      </x:c>
    </x:row>
  </x:sheetData>
  <x:mergeCells>
    <x:mergeCell ref="A1:T1"/>
    <x:mergeCell ref="A2:T2"/>
    <x:mergeCell ref="A21:T22"/>
  </x:mergeCells>
  <x:conditionalFormatting sqref="A6:A17">
    <x:cfRule type="containsText" dxfId="0" priority="1" operator="containsText" text="Crítica"/>
    <x:cfRule type="containsText" dxfId="1" priority="2" operator="containsText" text="Alta"/>
  </x:conditionalFormatting>
  <x:conditionalFormatting sqref="F6:F17">
    <x:cfRule type="containsText" dxfId="2" priority="3" operator="containsText" text="Planificado"/>
  </x:conditionalFormatting>
  <x:conditionalFormatting sqref="T6:T17">
    <x:cfRule type="cellIs" dxfId="3" priority="4" operator="notEqual">
      <x:formula>0</x:formula>
    </x:cfRule>
  </x:conditionalFormatting>
  <x:dataValidations count="3">
    <x:dataValidation type="list" sqref="E6:E17">
      <x:formula1>"Marcelo Núñez,Abraham Retamal,Benjamin Pérez"</x:formula1>
    </x:dataValidation>
    <x:dataValidation type="list" sqref="F6:F17">
      <x:formula1>"Planificado,Implementado,Probado,Evidenciado"</x:formula1>
    </x:dataValidation>
    <x:dataValidation type="whole" operator="between" sqref="H6:Q17">
      <x:formula1>0</x:formula1>
      <x:formula2>24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48c83dc5c7b499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42" hidden="0" customWidth="1"/>
    <x:col min="3" max="3" width="18" hidden="0" customWidth="1"/>
    <x:col min="4" max="4" width="38" hidden="0" customWidth="1"/>
    <x:col min="5" max="5" width="28" hidden="0" customWidth="1"/>
    <x:col min="6" max="6" width="34" hidden="0" customWidth="1"/>
  </x:cols>
  <x:sheetData>
    <x:row r="1" ht="30" customHeight="1">
      <x:c r="A1" s="7" t="str">
        <x:v>Instructivo del Sprint Backlog</x:v>
      </x:c>
      <x:c r="B1" s="7"/>
      <x:c r="C1" s="7"/>
      <x:c r="D1" s="7"/>
      <x:c r="E1" s="7"/>
      <x:c r="F1" s="7"/>
    </x:row>
    <x:row r="2" ht="24" customHeight="1">
      <x:c r="A2" s="8" t="str">
        <x:v>Uso operativo previsto desde Sprint 2</x:v>
      </x:c>
      <x:c r="B2" s="8"/>
      <x:c r="C2" s="8"/>
      <x:c r="D2" s="8"/>
      <x:c r="E2" s="8"/>
      <x:c r="F2" s="8"/>
    </x:row>
    <x:row r="4" ht="34" customHeight="1">
      <x:c r="A4" s="14" t="str">
        <x:v>Campo</x:v>
      </x:c>
      <x:c r="B4" s="14" t="str">
        <x:v>Uso</x:v>
      </x:c>
      <x:c r="C4" s="14" t="str">
        <x:v>Tipo</x:v>
      </x:c>
      <x:c r="D4" s="14" t="str">
        <x:v>Validación</x:v>
      </x:c>
      <x:c r="E4" s="14" t="str">
        <x:v>Responsable de actualización</x:v>
      </x:c>
      <x:c r="F4" s="14" t="str">
        <x:v>Nota</x:v>
      </x:c>
    </x:row>
    <x:row r="5">
      <x:c r="A5" s="18" t="str">
        <x:v>Responsable</x:v>
      </x:c>
      <x:c r="B5" s="18" t="str">
        <x:v>Persona que asume la tarea</x:v>
      </x:c>
      <x:c r="C5" s="18" t="str">
        <x:v>Lista</x:v>
      </x:c>
      <x:c r="D5" s="18" t="str">
        <x:v>Marcelo Núñez / Abraham Retamal / Benjamin Pérez</x:v>
      </x:c>
      <x:c r="E5" s="18" t="str">
        <x:v>Equipo</x:v>
      </x:c>
      <x:c r="F5" s="18" t="str">
        <x:v>Carga total: 21 / 20 / 19 h</x:v>
      </x:c>
    </x:row>
    <x:row r="6">
      <x:c r="A6" s="18" t="str">
        <x:v>Estado</x:v>
      </x:c>
      <x:c r="B6" s="18" t="str">
        <x:v>Situación documental o técnica</x:v>
      </x:c>
      <x:c r="C6" s="18" t="str">
        <x:v>Lista</x:v>
      </x:c>
      <x:c r="D6" s="18" t="str">
        <x:v>Planificado / Implementado / Probado / Evidenciado</x:v>
      </x:c>
      <x:c r="E6" s="18" t="str">
        <x:v>Responsable de la tarea</x:v>
      </x:c>
      <x:c r="F6" s="18" t="str">
        <x:v>En semana 4 solo Planificado</x:v>
      </x:c>
    </x:row>
    <x:row r="7">
      <x:c r="A7" s="18" t="str">
        <x:v>Día 1–10</x:v>
      </x:c>
      <x:c r="B7" s="18" t="str">
        <x:v>Horas efectivamente consumidas</x:v>
      </x:c>
      <x:c r="C7" s="18" t="str">
        <x:v>Entero 0–24</x:v>
      </x:c>
      <x:c r="D7" s="18" t="str">
        <x:v>No permite negativos</x:v>
      </x:c>
      <x:c r="E7" s="18" t="str">
        <x:v>Responsable de la tarea</x:v>
      </x:c>
      <x:c r="F7" s="18" t="str">
        <x:v>S2 comienza en semana 5</x:v>
      </x:c>
    </x:row>
    <x:row r="8">
      <x:c r="A8" s="18" t="str">
        <x:v>Consumido</x:v>
      </x:c>
      <x:c r="B8" s="18" t="str">
        <x:v>Suma de los diez días</x:v>
      </x:c>
      <x:c r="C8" s="18" t="str">
        <x:v>Fórmula</x:v>
      </x:c>
      <x:c r="D8" s="18" t="str">
        <x:v>SUM</x:v>
      </x:c>
      <x:c r="E8" s="18" t="str">
        <x:v>Automático</x:v>
      </x:c>
      <x:c r="F8" s="18" t="str">
        <x:v>No editar</x:v>
      </x:c>
    </x:row>
    <x:row r="9">
      <x:c r="A9" s="18" t="str">
        <x:v>Restante</x:v>
      </x:c>
      <x:c r="B9" s="18" t="str">
        <x:v>Estimado menos consumido, mínimo cero</x:v>
      </x:c>
      <x:c r="C9" s="18" t="str">
        <x:v>Fórmula</x:v>
      </x:c>
      <x:c r="D9" s="18" t="str">
        <x:v>MAX(0; estimado-consumido)</x:v>
      </x:c>
      <x:c r="E9" s="18" t="str">
        <x:v>Automático</x:v>
      </x:c>
      <x:c r="F9" s="18" t="str">
        <x:v>No oculta sobreconsumo</x:v>
      </x:c>
    </x:row>
    <x:row r="10">
      <x:c r="A10" s="18" t="str">
        <x:v>Desviación</x:v>
      </x:c>
      <x:c r="B10" s="18" t="str">
        <x:v>Consumido + restante − estimado</x:v>
      </x:c>
      <x:c r="C10" s="18" t="str">
        <x:v>Fórmula</x:v>
      </x:c>
      <x:c r="D10" s="18" t="str">
        <x:v>Cero si está dentro de estimación</x:v>
      </x:c>
      <x:c r="E10" s="18" t="str">
        <x:v>Automático</x:v>
      </x:c>
      <x:c r="F10" s="18" t="str">
        <x:v>Positivo indica exceso</x:v>
      </x:c>
    </x:row>
    <x:row r="11">
      <x:c r="A11" s="18" t="str">
        <x:v>Evidencia</x:v>
      </x:c>
      <x:c r="B11" s="18" t="str">
        <x:v>Pruebas, capturas y registros futuros</x:v>
      </x:c>
      <x:c r="C11" s="18" t="str">
        <x:v>Documento</x:v>
      </x:c>
      <x:c r="D11" s="18" t="str">
        <x:v>Vinculada a tarea e historia</x:v>
      </x:c>
      <x:c r="E11" s="18" t="str">
        <x:v>Abraham Retamal</x:v>
      </x:c>
      <x:c r="F11" s="18" t="str">
        <x:v>Planificada, no ejecutada al corte</x:v>
      </x:c>
    </x:row>
  </x:sheetData>
  <x:mergeCells>
    <x:mergeCell ref="A1:F1"/>
    <x:mergeCell ref="A2:F2"/>
  </x:mergeCells>
  <x:pageMargins left="0.7" right="0.7" top="0.75" bottom="0.75" header="0.3" footer="0.3"/>
</x:worksheet>
</file>